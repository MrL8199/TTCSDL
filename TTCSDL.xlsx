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C:\Users\dinhv\OneDrive\Máy tính\TTCSDL\"/>
    </mc:Choice>
  </mc:AlternateContent>
  <bookViews>
    <workbookView xWindow="630" yWindow="345" windowWidth="20940" windowHeight="9870" tabRatio="896" firstSheet="12" activeTab="19"/>
  </bookViews>
  <sheets>
    <sheet name="TACGIA" sheetId="1" r:id="rId1"/>
    <sheet name="KESACH" sheetId="2" r:id="rId2"/>
    <sheet name="THELOAI" sheetId="3" r:id="rId3"/>
    <sheet name="KHO" sheetId="4" r:id="rId4"/>
    <sheet name="NCC" sheetId="5" r:id="rId5"/>
    <sheet name="NXB" sheetId="6" r:id="rId6"/>
    <sheet name="THETHUVIEN" sheetId="7" r:id="rId7"/>
    <sheet name="VIPHAM" sheetId="8" r:id="rId8"/>
    <sheet name="DOCGIA" sheetId="9" r:id="rId9"/>
    <sheet name="DAUSACH" sheetId="10" r:id="rId10"/>
    <sheet name="SACH-TACGIA" sheetId="11" r:id="rId11"/>
    <sheet name="PHIEUMUON" sheetId="12" r:id="rId12"/>
    <sheet name="CT_PHIEUMUON" sheetId="21" r:id="rId13"/>
    <sheet name="PHIEUTRA" sheetId="13" r:id="rId14"/>
    <sheet name="CT_PHIEUTRA" sheetId="22" r:id="rId15"/>
    <sheet name="CUONSACH" sheetId="14" r:id="rId16"/>
    <sheet name="PHIEUKIEMKE" sheetId="15" r:id="rId17"/>
    <sheet name="NHANVIEN" sheetId="16" r:id="rId18"/>
    <sheet name="QUANLYMUONSACH" sheetId="17" r:id="rId19"/>
    <sheet name="QUANLYTRASACH" sheetId="18" r:id="rId20"/>
    <sheet name="PHIEUNHAP" sheetId="19" r:id="rId21"/>
    <sheet name="PHIEUXUAT" sheetId="20" r:id="rId22"/>
  </sheets>
  <definedNames>
    <definedName name="_xlnm._FilterDatabase" localSheetId="12" hidden="1">CT_PHIEUMUON!$A$1:$A$78</definedName>
    <definedName name="_xlnm._FilterDatabase" localSheetId="15" hidden="1">CUONSACH!$A$1:$A$177</definedName>
    <definedName name="_xlnm._FilterDatabase" localSheetId="17" hidden="1">NHANVIEN!$C$1:$C$20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20" l="1"/>
  <c r="C9" i="20"/>
  <c r="C10" i="20"/>
  <c r="C11" i="20"/>
  <c r="C12" i="20"/>
  <c r="C13" i="20"/>
  <c r="C14" i="20"/>
  <c r="C15" i="20"/>
  <c r="C16" i="20"/>
  <c r="C7" i="20"/>
  <c r="C7" i="15"/>
  <c r="C8" i="15"/>
  <c r="C9" i="15"/>
  <c r="C10" i="15"/>
  <c r="C11" i="15"/>
  <c r="C12" i="15"/>
  <c r="C13" i="15"/>
  <c r="C14" i="15"/>
  <c r="D8" i="15"/>
  <c r="D9" i="15"/>
  <c r="D10" i="15"/>
  <c r="D11" i="15"/>
  <c r="D12" i="15"/>
  <c r="D13" i="15"/>
  <c r="D14" i="15"/>
  <c r="D7" i="15"/>
  <c r="B14" i="15"/>
  <c r="B8" i="15"/>
  <c r="B9" i="15"/>
  <c r="B10" i="15"/>
  <c r="B11" i="15"/>
  <c r="B12" i="15"/>
  <c r="B13" i="15"/>
  <c r="B7" i="15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" i="19"/>
  <c r="B8" i="13" l="1"/>
  <c r="B9" i="13"/>
  <c r="B10" i="13"/>
  <c r="B11" i="13"/>
  <c r="B12" i="13"/>
  <c r="B13" i="13"/>
  <c r="B7" i="13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7" i="12"/>
  <c r="C11" i="14" l="1"/>
  <c r="D43" i="7" l="1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42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41" i="7" l="1"/>
  <c r="C26" i="7"/>
  <c r="C24" i="7"/>
  <c r="C25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</calcChain>
</file>

<file path=xl/sharedStrings.xml><?xml version="1.0" encoding="utf-8"?>
<sst xmlns="http://schemas.openxmlformats.org/spreadsheetml/2006/main" count="931" uniqueCount="403">
  <si>
    <t>MaTacGia</t>
  </si>
  <si>
    <t>TenTacGia</t>
  </si>
  <si>
    <t>SDT</t>
  </si>
  <si>
    <t>DiaChi</t>
  </si>
  <si>
    <t xml:space="preserve">Minh Ngọc </t>
  </si>
  <si>
    <t xml:space="preserve">Huỳnh Khải Vệ </t>
  </si>
  <si>
    <t>MaKeSach</t>
  </si>
  <si>
    <t>TenKeSach</t>
  </si>
  <si>
    <t>TenTheLoai</t>
  </si>
  <si>
    <t>MaKho</t>
  </si>
  <si>
    <t>TenKho</t>
  </si>
  <si>
    <t>DiaChiKho</t>
  </si>
  <si>
    <t>MaNCC</t>
  </si>
  <si>
    <t>TenNCC</t>
  </si>
  <si>
    <t>DiaChiNCC</t>
  </si>
  <si>
    <t>SDT_NCC</t>
  </si>
  <si>
    <t>MaNXB</t>
  </si>
  <si>
    <t>TenNXB</t>
  </si>
  <si>
    <t>DiaChiNXB</t>
  </si>
  <si>
    <t>SDT_NXB</t>
  </si>
  <si>
    <t>MaThe</t>
  </si>
  <si>
    <t>TrangThai</t>
  </si>
  <si>
    <t>NgayHetHan</t>
  </si>
  <si>
    <t>SoLanGiaHan</t>
  </si>
  <si>
    <t>MaViPham</t>
  </si>
  <si>
    <t>TenViPham</t>
  </si>
  <si>
    <t>GhiChu</t>
  </si>
  <si>
    <t>MaDocGia</t>
  </si>
  <si>
    <t>HoTenDocGia</t>
  </si>
  <si>
    <t>Lop</t>
  </si>
  <si>
    <t>NgaySinh</t>
  </si>
  <si>
    <t>MaDauSach</t>
  </si>
  <si>
    <t>TenDauSach</t>
  </si>
  <si>
    <t>MaPhieuMuon</t>
  </si>
  <si>
    <t>NgayMuon</t>
  </si>
  <si>
    <t>NgayHanTra</t>
  </si>
  <si>
    <t>MaPhieuTra</t>
  </si>
  <si>
    <t>NgayTra</t>
  </si>
  <si>
    <t>MaCuonSach</t>
  </si>
  <si>
    <t xml:space="preserve">TenSach </t>
  </si>
  <si>
    <t>SoTrang</t>
  </si>
  <si>
    <t>TinhTrangCuonSach</t>
  </si>
  <si>
    <t>MaPhieuKiemKe</t>
  </si>
  <si>
    <t>NgayKiemKe</t>
  </si>
  <si>
    <t>SoLuongDau</t>
  </si>
  <si>
    <t>SoLuongCuoi</t>
  </si>
  <si>
    <t>MaNhanVien</t>
  </si>
  <si>
    <t>TenNhanVien</t>
  </si>
  <si>
    <t>NgayNhap</t>
  </si>
  <si>
    <t xml:space="preserve">NgayXuat </t>
  </si>
  <si>
    <t xml:space="preserve">Phạm Anh Thư </t>
  </si>
  <si>
    <t>Nguyễn Nhật Ánh</t>
  </si>
  <si>
    <t>Ki Ju Lee</t>
  </si>
  <si>
    <t xml:space="preserve">Tiểu Thuyết </t>
  </si>
  <si>
    <t xml:space="preserve">Kệ Sách A </t>
  </si>
  <si>
    <t xml:space="preserve">Kệ Sách B </t>
  </si>
  <si>
    <t>Kệ Sách E</t>
  </si>
  <si>
    <t>Truyện Ngắn - Tản Văn</t>
  </si>
  <si>
    <t xml:space="preserve">Chính Trị - Pháp Luật </t>
  </si>
  <si>
    <t xml:space="preserve">Văn Học Nghệ Thuật </t>
  </si>
  <si>
    <t xml:space="preserve">Khoa Học Công Nghệ </t>
  </si>
  <si>
    <t>Kho 1A</t>
  </si>
  <si>
    <t>Kho 1B</t>
  </si>
  <si>
    <t>Kho 2A</t>
  </si>
  <si>
    <t xml:space="preserve">Kho 2B </t>
  </si>
  <si>
    <t xml:space="preserve">Phòng 301 , Tầng 3, Tòa H2 </t>
  </si>
  <si>
    <t xml:space="preserve">Phòng 302 , Tầng 3, Tòa H2 </t>
  </si>
  <si>
    <t xml:space="preserve">Phòng 401 , Tầng 4, Tòa H2 </t>
  </si>
  <si>
    <t xml:space="preserve">Phòng 402 , Tầng 4, Tòa H2 </t>
  </si>
  <si>
    <t>Skybooks</t>
  </si>
  <si>
    <t>Công ty cổ phần MTV Hà Nội</t>
  </si>
  <si>
    <t xml:space="preserve">NXB Trẻ </t>
  </si>
  <si>
    <t xml:space="preserve">Thiên Long </t>
  </si>
  <si>
    <t>Số 50 đường 5, TTF 361 An Dương, Tây Hồ, Hà Nội</t>
  </si>
  <si>
    <t xml:space="preserve">161B Lý Chính Thắng, Phường 7,Quận 3,Hồ Chí Minh.
</t>
  </si>
  <si>
    <t xml:space="preserve">Nhà Sách Trí Việt </t>
  </si>
  <si>
    <t>234 Tây Sơn, Trung Liệt, Đống Đa, Hà Nội</t>
  </si>
  <si>
    <t>Số 7/33 Ngõ 199 Hồ Tùng Mậu - Phường Cầu Diễn - Quận Nam Từ Liêm - Hà Nội</t>
  </si>
  <si>
    <t>NXB Phụ Nữ</t>
  </si>
  <si>
    <t xml:space="preserve">NXB Lao Động </t>
  </si>
  <si>
    <t>NXB Trẻ</t>
  </si>
  <si>
    <t xml:space="preserve">NXB Kim Đồng </t>
  </si>
  <si>
    <t>62 Nguyễn Thị Minh Khai, Phường Đa Kao, Quận 1, TP.HCM</t>
  </si>
  <si>
    <t>55 Quang Trung, Hai Bà Trưng, Hà Nội</t>
  </si>
  <si>
    <t>39 Hàng Chuối, Q. Hai Bà Trưng, Hà Nội</t>
  </si>
  <si>
    <t xml:space="preserve">Còn Hạn </t>
  </si>
  <si>
    <t xml:space="preserve">Mất Sách </t>
  </si>
  <si>
    <t xml:space="preserve">Mất, hỏng tem mã vạch </t>
  </si>
  <si>
    <t xml:space="preserve">Rách bìa, bung bìa </t>
  </si>
  <si>
    <t>Bẩn sách</t>
  </si>
  <si>
    <t>Giữ sách quá hạn</t>
  </si>
  <si>
    <t xml:space="preserve">Nguyễn Vũ hải Anh </t>
  </si>
  <si>
    <t>KTPM16</t>
  </si>
  <si>
    <t>Hà Nội</t>
  </si>
  <si>
    <t>Phạm Đức Anh</t>
  </si>
  <si>
    <t>Ninh Bình</t>
  </si>
  <si>
    <t>Phạm Hoàng Anh</t>
  </si>
  <si>
    <t>Hải Dương</t>
  </si>
  <si>
    <t>Trần Đức Anh</t>
  </si>
  <si>
    <t>Trần Tuấn Anh</t>
  </si>
  <si>
    <t>Mình Về Hà Nội Để Thương Nhau</t>
  </si>
  <si>
    <t xml:space="preserve">Tiếc Rằng Mình Chẳng Đợi Được Nhau </t>
  </si>
  <si>
    <t xml:space="preserve">Có Một Cô Gái Thầm Yêu Anh </t>
  </si>
  <si>
    <t xml:space="preserve">Tôi Thấy Hoa Vàng Trên Cỏ Xanh </t>
  </si>
  <si>
    <t xml:space="preserve">Nhiệt Độ Ngôn Ngữ </t>
  </si>
  <si>
    <t>Số 4, phố Tống Duy Tân, quận Hoàn Kiếm, thành phố Hà Nội</t>
  </si>
  <si>
    <t xml:space="preserve">Kho C </t>
  </si>
  <si>
    <t xml:space="preserve">Phòng 403,Tầng 4 ,Tòa H2 </t>
  </si>
  <si>
    <t xml:space="preserve">Nguyễn Thi Như Quỳnh </t>
  </si>
  <si>
    <t>Quách Văn Thắng</t>
  </si>
  <si>
    <t>Lê Đình Tú</t>
  </si>
  <si>
    <t>Nguyễn Ánh Dương</t>
  </si>
  <si>
    <t>Trần Cao Thanh Tùng</t>
  </si>
  <si>
    <t>028 38 225 340</t>
  </si>
  <si>
    <t>Số 6/86 Duy Tân, Cầu Giấy, Hà Nội; </t>
  </si>
  <si>
    <t>81 Trần Hưng Đạo, Hà Nội</t>
  </si>
  <si>
    <t>Số 65 Nguyễn Du, Hà Nội</t>
  </si>
  <si>
    <t>Số 35 Trần Quốc Toản, Hoàn Kiếm, Hà Nội</t>
  </si>
  <si>
    <t>Tầng 6, Tòa nhà Cục Tần số Vô tuyến điện, số 115 Trần Duy Hưng, Hà Nội </t>
  </si>
  <si>
    <t>024 35772145</t>
  </si>
  <si>
    <t>80B Trần Hưng Đạo, Hoàn Kiếm, Hà Nội</t>
  </si>
  <si>
    <t>024 3942334</t>
  </si>
  <si>
    <t>16 Hàng Chuối, Phạm Đình Hổ, Hai Bà Trưng, Hà Nội</t>
  </si>
  <si>
    <t>Khu phố 6, P. Linh Trung, Q. Thủ Đức, TP. HCM</t>
  </si>
  <si>
    <t>028 6681 7058</t>
  </si>
  <si>
    <t>18, Nguyễn Trường Tộ, Trúc Bạch, Ba Đình, Hà Nội</t>
  </si>
  <si>
    <t>Đại học Oxford</t>
  </si>
  <si>
    <t>Đại học Cambridge</t>
  </si>
  <si>
    <t>65, Tràng Thi, Hà Nội</t>
  </si>
  <si>
    <t>NXB Tri Thức</t>
  </si>
  <si>
    <t>23 Lý Nam Đế, Hoàn Kiếm, Hà Nội</t>
  </si>
  <si>
    <t xml:space="preserve">NXB QUÂN ĐỘI NHÂN DÂN </t>
  </si>
  <si>
    <t>Tầng 1, Tòa nhà VUSTA, 53, Nguyễn Du, Hai Bà Trưng, Hà Nội</t>
  </si>
  <si>
    <t>024 3945 4661</t>
  </si>
  <si>
    <t>Sách Công Nghệ Thông Tin</t>
  </si>
  <si>
    <t>Sách Giáo Khoa - Giáo Trình </t>
  </si>
  <si>
    <t>Sách Học Ngoại Ngữ</t>
  </si>
  <si>
    <t>Sách Kiến Thức Tổng Hợp</t>
  </si>
  <si>
    <t>Sách Tham Khảo</t>
  </si>
  <si>
    <t>Sách Thường Thức - Gia Đình</t>
  </si>
  <si>
    <t>Sách Tâm lý - Giới tính</t>
  </si>
  <si>
    <t>Sách Y Học</t>
  </si>
  <si>
    <t>Sách kinh tế </t>
  </si>
  <si>
    <t>Sách kỹ năng sống</t>
  </si>
  <si>
    <t>Sách thiếu nhi</t>
  </si>
  <si>
    <t>Sách Lịch sử</t>
  </si>
  <si>
    <t>Sách Văn Hóa - Địa Lý - Du Lịch</t>
  </si>
  <si>
    <t>Sách Tôn Giáo - Tâm Linh</t>
  </si>
  <si>
    <t>175 Giảng Võ, Đống Đa, Hà Nội175 Giảng Võ, Đống Đa, Hà Nội</t>
  </si>
  <si>
    <t> 024 3971 4896</t>
  </si>
  <si>
    <t>Cô Gái Đến Từ Hôm Qua</t>
  </si>
  <si>
    <t>Mắt Biếc</t>
  </si>
  <si>
    <t>Cho Tôi Xin Một Vé Đi Tuổi Thơ</t>
  </si>
  <si>
    <t>Có Hai Con Mèo Ngồi Bên Cửa Sổ</t>
  </si>
  <si>
    <t>Tôi Là Bêtô</t>
  </si>
  <si>
    <t>Ngồi Khóc Trên Cây: Truyện Dài</t>
  </si>
  <si>
    <t>John C. Maxwell</t>
  </si>
  <si>
    <t> 15 Nguyên Tắc Vàng Về Phát Triển Bản Thân</t>
  </si>
  <si>
    <t>NXB Hà Nội</t>
  </si>
  <si>
    <t>NXB Tổng hợp thành phố Hồ Chí Minh</t>
  </si>
  <si>
    <t>NXB chính trị quốc gia sự thật</t>
  </si>
  <si>
    <t>NXB giáo dục</t>
  </si>
  <si>
    <t>NXB Hội Nhà văn</t>
  </si>
  <si>
    <t>NXB Tư pháp</t>
  </si>
  <si>
    <t>NXB thông tin và truyền thông</t>
  </si>
  <si>
    <t>NXB giao thông vận tải</t>
  </si>
  <si>
    <t>NXB Đại học Quốc Gia Hà Nội</t>
  </si>
  <si>
    <t>NXB Đại học Quốc gia Thành phố Hồ Chí Minh</t>
  </si>
  <si>
    <t>NXB Văn Học</t>
  </si>
  <si>
    <t>NXB Đại học Oxford</t>
  </si>
  <si>
    <t>NXB Đại học Cambridge</t>
  </si>
  <si>
    <t>NXB Hồng Đức</t>
  </si>
  <si>
    <t>NXB Thế giới</t>
  </si>
  <si>
    <t>46 Trần Hưng Đạo, Hàng Bài, Hoàn Kiếm, Hà Nội </t>
  </si>
  <si>
    <t>024 3825 3841</t>
  </si>
  <si>
    <t>Trở Thành Người Ảnh Hưởng</t>
  </si>
  <si>
    <t>Thái Độ 101 – Những Điều Nhà Lãnh Đạo Cần Biết</t>
  </si>
  <si>
    <t>Mối Quan Hệ 101 – Những Điều Nhà Lãnh Đạo Cần Biết</t>
  </si>
  <si>
    <t>Tiki Trading</t>
  </si>
  <si>
    <t>Nhà sách Fahasa</t>
  </si>
  <si>
    <t>Nhà sách Thanh Hà</t>
  </si>
  <si>
    <t> ALPHA BOOKS</t>
  </si>
  <si>
    <t> AZ VIỆT NAM</t>
  </si>
  <si>
    <t>FIRST NEWS TRÍ VIỆT</t>
  </si>
  <si>
    <t> Văn Hóa Văn Lang</t>
  </si>
  <si>
    <t>TÂN VIỆT</t>
  </si>
  <si>
    <t>PANDA BOOKS</t>
  </si>
  <si>
    <t> SÁCH MINH LONG</t>
  </si>
  <si>
    <t>Vinabook JSC</t>
  </si>
  <si>
    <t>Nhà Sách Sao Mai</t>
  </si>
  <si>
    <t>52 Út Tịch, phường 4, quận Tân Bình, thành phố Hồ Chí Minh</t>
  </si>
  <si>
    <t>60 - 62 Lê Lợi, Quận 1, TP. HCM, Việt Nam</t>
  </si>
  <si>
    <t>Thanh Hà Books NV5.36 khu đô thị Viglacera phường Tây Mỗ quận Nam Từ Liêm, Từ Liêm</t>
  </si>
  <si>
    <t>0388 553 222</t>
  </si>
  <si>
    <t>176 Thái Hà, Trung Liệt, Đống Đa, Hà Nội</t>
  </si>
  <si>
    <t>Số 56 - Đường 5 - Khu tập thể F361 - phố An Dương - P. Yên Phụ - Q.Tây Hồ - HN</t>
  </si>
  <si>
    <t>11H Nguyễn Thị Minh Khai, Phường Bến Nghé, Quận 1, Thành phố Hồ Chí Minh</t>
  </si>
  <si>
    <t>06 Nguyễn Trung Trực, P.5, Q. Bình Thạnh, TP.HCM</t>
  </si>
  <si>
    <t> 449 Bạch Mai - Hai Bà Trưng - Hà Nội</t>
  </si>
  <si>
    <t>B8/20 Đầm Trấu, Hai Bà Trưng, Hà Nội., Bạch Đằng, Hai Bà Trưng, Hà Nội</t>
  </si>
  <si>
    <t>024 3856 9432</t>
  </si>
  <si>
    <t>số 17 Ngô Quyền – 34 Tràng Tiền, phường Tràng Tiền, quận Hoàn Kiếm, TP Hà Nội</t>
  </si>
  <si>
    <t>Nhà Số 1, Lô A7, Khu Đô Thị Đầm Trấu, Phường Bạch Đằng, Quận Hai Bà Trưng, Thành Phố Hà Nội</t>
  </si>
  <si>
    <t>024 6294 3819</t>
  </si>
  <si>
    <t>71 Đông Hồ, phường 8, quận Tân Bình, Thành phố Hồ Chí Minh</t>
  </si>
  <si>
    <t>44 Xô Viết Nghệ Tĩnh, Phường 19, Quận Bình Thạnh, TP. Hồ Chí Minh</t>
  </si>
  <si>
    <r>
      <t> </t>
    </r>
    <r>
      <rPr>
        <sz val="11"/>
        <rFont val="Calibri"/>
        <family val="2"/>
        <scheme val="minor"/>
      </rPr>
      <t>093 232 99 59</t>
    </r>
  </si>
  <si>
    <r>
      <t> </t>
    </r>
    <r>
      <rPr>
        <sz val="11"/>
        <rFont val="Calibri"/>
        <family val="2"/>
        <scheme val="minor"/>
      </rPr>
      <t>CTY CP MTV HÀ NỘI</t>
    </r>
  </si>
  <si>
    <t>08 62 935 574</t>
  </si>
  <si>
    <t>Nhà sách Thái Hà</t>
  </si>
  <si>
    <t>119 C5 Tô Hiệu, Khu tập thể Nghĩa Tân, Cầu Giấy, Hà Nội</t>
  </si>
  <si>
    <t>024 6281 3638</t>
  </si>
  <si>
    <t> 02838242157 </t>
  </si>
  <si>
    <t>028 35140632</t>
  </si>
  <si>
    <t xml:space="preserve">38, ngách 88b, ngõ 49, phố Thúy Lĩnh, Phường Lĩnh Nam,  Hoàng Mai, Hà Nội
</t>
  </si>
  <si>
    <t>Trương Anh Khoa</t>
  </si>
  <si>
    <t>Đặng Quang Vũ</t>
  </si>
  <si>
    <t>Nguyễn Bích Như</t>
  </si>
  <si>
    <t>Vũ Kim Phượng</t>
  </si>
  <si>
    <t>Nguyễn Phương Quyên</t>
  </si>
  <si>
    <t>Phùng Ðức Bảo</t>
  </si>
  <si>
    <t>Phạm Diệu Loan</t>
  </si>
  <si>
    <t>Trần Ngọc Yến</t>
  </si>
  <si>
    <t>Dương Thu Trang</t>
  </si>
  <si>
    <t>Đoàn Bích Hằng</t>
  </si>
  <si>
    <t>Võ Việt An</t>
  </si>
  <si>
    <t>Nguyễn Khắc Duy</t>
  </si>
  <si>
    <t>Phạm Phương Thảo</t>
  </si>
  <si>
    <t>Hồ Ngọc Huệ</t>
  </si>
  <si>
    <t>CAO HẢI ANH</t>
  </si>
  <si>
    <t>ĐỖ ĐỨC ANH</t>
  </si>
  <si>
    <t>MAI QUANG VIỆT ANH</t>
  </si>
  <si>
    <t>PHẠM ĐỨC ANH</t>
  </si>
  <si>
    <t>TẠ NGỌC ANH</t>
  </si>
  <si>
    <t>TRẦN TIẾN ANH</t>
  </si>
  <si>
    <t>NGUYỄN ĐĂNG NHẬT ANH</t>
  </si>
  <si>
    <t>NGUYỄN THẾ ANH</t>
  </si>
  <si>
    <t>PHẠM THẾ ANH</t>
  </si>
  <si>
    <t>TRỊNH XUÂN ANH</t>
  </si>
  <si>
    <t>PHẠM HOÀNG ANH</t>
  </si>
  <si>
    <t>TRẦN THÁI BẢO</t>
  </si>
  <si>
    <t>NGUYỄN ĐỨC BẮC</t>
  </si>
  <si>
    <t>HOÀNG THỊ CHUNG</t>
  </si>
  <si>
    <t>ĐẬU THÀNH VĂN CHƯƠNG</t>
  </si>
  <si>
    <t>VŨ THÀNH CÔNG</t>
  </si>
  <si>
    <t>Ngô Mạnh Cường</t>
  </si>
  <si>
    <t>NGUYỄN THÁI CƯỜNG</t>
  </si>
  <si>
    <t>PHONG ĐỨC DUY</t>
  </si>
  <si>
    <t>VŨ XUÂN DUY</t>
  </si>
  <si>
    <t>TĂNG VIỆT DŨNG</t>
  </si>
  <si>
    <t>NGUYỄN VĂN DŨNG</t>
  </si>
  <si>
    <t>BÙI TUẤN DƯƠNG</t>
  </si>
  <si>
    <t>PHẠM HẢI DƯƠNG</t>
  </si>
  <si>
    <t>NGUYỄN TIẾN ĐẠT</t>
  </si>
  <si>
    <t>ĐẶNG QUANG ĐẠT</t>
  </si>
  <si>
    <t>LÊ TIẾN ĐẠT</t>
  </si>
  <si>
    <t>NGUYỄN THÀNH ĐẠT</t>
  </si>
  <si>
    <t>LÊ XUÂN ĐÔNG</t>
  </si>
  <si>
    <t>NGUYỄN MINH ĐỨC</t>
  </si>
  <si>
    <t>ĐỖ THỊ HƯƠNG GIANG</t>
  </si>
  <si>
    <t>NGUYỄN THỊ THU HÀ</t>
  </si>
  <si>
    <t>NGUYỄN QUÍ HẢI</t>
  </si>
  <si>
    <t>ĐẶNG THỊ HIỀN</t>
  </si>
  <si>
    <t>ĐINH ĐỨC HIẾU</t>
  </si>
  <si>
    <t>VŨ VĂN HIẾU</t>
  </si>
  <si>
    <t>NGUYỄN VĂN HIỆU</t>
  </si>
  <si>
    <t>LỖ TRUNG HIẾU</t>
  </si>
  <si>
    <t>NGUYỄN MINH HIẾU</t>
  </si>
  <si>
    <t>ĐINH THỊ HOÀI</t>
  </si>
  <si>
    <t>LÊ VIỆT HOÀNG</t>
  </si>
  <si>
    <t>Lê Minh Hoàng</t>
  </si>
  <si>
    <t>Mai Nhật Hoàng</t>
  </si>
  <si>
    <t>NGUYỄN HOÀNG</t>
  </si>
  <si>
    <t>THÁI VIỆT HOÀNG</t>
  </si>
  <si>
    <t>DƯƠNG NGỌC HUY</t>
  </si>
  <si>
    <t>NGUYỄN QUANG HUY</t>
  </si>
  <si>
    <t>Ngô Đình Huy</t>
  </si>
  <si>
    <t>Phan Ngọc Huy</t>
  </si>
  <si>
    <t>ĐỒNG VĂN HÙNG</t>
  </si>
  <si>
    <t>NGUYỄN TUẤN HÙNG</t>
  </si>
  <si>
    <t>NGUYỄN QUANG HƯNG</t>
  </si>
  <si>
    <t>NGUYỄN VĂN KHÁ</t>
  </si>
  <si>
    <t>CAO DUY KHANG</t>
  </si>
  <si>
    <t>NGUYỄN QUỐC KHÁNH</t>
  </si>
  <si>
    <t>ĐẶNG QUỐC KHÁNH</t>
  </si>
  <si>
    <t>VŨ VIỆT LÂM</t>
  </si>
  <si>
    <t>ĐẶNG THỊ LINH</t>
  </si>
  <si>
    <t>HOÀNG NGỌC LINH</t>
  </si>
  <si>
    <t>BÙI CÔNG LONG</t>
  </si>
  <si>
    <t>NGUYỄN HOÀNG LONG</t>
  </si>
  <si>
    <t>NGUYỄN HỮU LỘC</t>
  </si>
  <si>
    <t>ĐINH VĂN LỰC</t>
  </si>
  <si>
    <t>NGUYỄN HÙNG MẠNH</t>
  </si>
  <si>
    <t>Thái Đức Mạnh</t>
  </si>
  <si>
    <t>NGUYỄN THỊ MÂY</t>
  </si>
  <si>
    <t>HOÀNG QUANG MINH</t>
  </si>
  <si>
    <t>TRỊNH ĐỨC NHẬT MINH</t>
  </si>
  <si>
    <t>BÙI THỊ TRÀ MY</t>
  </si>
  <si>
    <t>Đoàn Quang Nam</t>
  </si>
  <si>
    <t>LÊ PHƯƠNG NAM</t>
  </si>
  <si>
    <t>TRƯƠNG TUẤN NGHĨA</t>
  </si>
  <si>
    <t>PHÙNG THỊ NGỌC</t>
  </si>
  <si>
    <t>ĐINH CÔNG PHONG</t>
  </si>
  <si>
    <t>NGUYỄN VĂN PHONG</t>
  </si>
  <si>
    <t>VŨ ĐÌNH QUANG</t>
  </si>
  <si>
    <t>NGUYỄN MINH QUÂN</t>
  </si>
  <si>
    <t>NGUYỄN ĐÌNH NHƯ QUỲNH</t>
  </si>
  <si>
    <t>NGUYỄN XUÂN SƠN</t>
  </si>
  <si>
    <t>TDH17</t>
  </si>
  <si>
    <t>DTVT17</t>
  </si>
  <si>
    <t>DKCN</t>
  </si>
  <si>
    <t>CNTT16A</t>
  </si>
  <si>
    <t>CNM15</t>
  </si>
  <si>
    <t>HTTTQL15</t>
  </si>
  <si>
    <t>GAM&amp;MP14</t>
  </si>
  <si>
    <t>CDT17</t>
  </si>
  <si>
    <t>TDH 16</t>
  </si>
  <si>
    <t>CNTT16B</t>
  </si>
  <si>
    <t>DPT13</t>
  </si>
  <si>
    <t>DDT14C</t>
  </si>
  <si>
    <t>CNPM15</t>
  </si>
  <si>
    <t>CNDL15</t>
  </si>
  <si>
    <t>CDT15B</t>
  </si>
  <si>
    <t>DDT14B</t>
  </si>
  <si>
    <t>DTVT16B</t>
  </si>
  <si>
    <t>ĐTYS14</t>
  </si>
  <si>
    <t>CN_CNDL15</t>
  </si>
  <si>
    <t>0977632345 </t>
  </si>
  <si>
    <t>0946186898 </t>
  </si>
  <si>
    <t>DTVT14</t>
  </si>
  <si>
    <t>Quảng Ninh</t>
  </si>
  <si>
    <t>Kon Tum</t>
  </si>
  <si>
    <t>Bắc Ninh</t>
  </si>
  <si>
    <t>Quảng Bình</t>
  </si>
  <si>
    <t>Thừa Thiên Huế</t>
  </si>
  <si>
    <t>Vĩnh Long</t>
  </si>
  <si>
    <t>Ninh Thuận</t>
  </si>
  <si>
    <t>Cà Mau</t>
  </si>
  <si>
    <t>Khánh Hòa</t>
  </si>
  <si>
    <t>Đồng Nai</t>
  </si>
  <si>
    <t>Vĩnh Phúc</t>
  </si>
  <si>
    <t>Phú Yên</t>
  </si>
  <si>
    <t>Trà Vinh</t>
  </si>
  <si>
    <t>Thái Nguyên</t>
  </si>
  <si>
    <t>Thanh Hóa</t>
  </si>
  <si>
    <t>Hậu Giang</t>
  </si>
  <si>
    <t>Hòa Bình</t>
  </si>
  <si>
    <t>Quảng Trị</t>
  </si>
  <si>
    <t>Bạc Liêu</t>
  </si>
  <si>
    <t>Đắk Nông</t>
  </si>
  <si>
    <t>Bắc Giang</t>
  </si>
  <si>
    <t>Long An</t>
  </si>
  <si>
    <t>Kiên Giang</t>
  </si>
  <si>
    <t>Bình Dương</t>
  </si>
  <si>
    <t>Tiền Giang</t>
  </si>
  <si>
    <t>Lạng Sơn</t>
  </si>
  <si>
    <t>Cần Thơ</t>
  </si>
  <si>
    <t>Hà Nam</t>
  </si>
  <si>
    <t>Đồng Tháp</t>
  </si>
  <si>
    <t>Nam Định</t>
  </si>
  <si>
    <t>Nghệ An</t>
  </si>
  <si>
    <t>Sóc Trăng</t>
  </si>
  <si>
    <t>Bến Tre</t>
  </si>
  <si>
    <t>Bình Thuận</t>
  </si>
  <si>
    <t>Lai Châu</t>
  </si>
  <si>
    <t>Bắc Kạn</t>
  </si>
  <si>
    <t>Đắk Lắk</t>
  </si>
  <si>
    <t>Rách trang</t>
  </si>
  <si>
    <t>Mất mã vạch</t>
  </si>
  <si>
    <t>Tô Văn Ban</t>
  </si>
  <si>
    <t>Phạm Văn Ất</t>
  </si>
  <si>
    <t>Kỹ thuật lập trình C cơ bản và nâng cao</t>
  </si>
  <si>
    <t>Xác suất thống kê</t>
  </si>
  <si>
    <t>Giải tích 1</t>
  </si>
  <si>
    <t>Giải tích 2</t>
  </si>
  <si>
    <t>Lập trình hướng đối tượng</t>
  </si>
  <si>
    <t>Lương Duyên Bình</t>
  </si>
  <si>
    <t>Vật Lý đại cương 1</t>
  </si>
  <si>
    <t>Vật Lý đại cương 2</t>
  </si>
  <si>
    <t>Robin Sharma</t>
  </si>
  <si>
    <t>Đời ngắn đừng ngủ dài</t>
  </si>
  <si>
    <t>Paulo Coelho</t>
  </si>
  <si>
    <t>Nhà giả kim</t>
  </si>
  <si>
    <t>Kệ Sách F</t>
  </si>
  <si>
    <t>Kệ Sách G</t>
  </si>
  <si>
    <t>Kệ Sách H</t>
  </si>
  <si>
    <t>Kệ Sách I</t>
  </si>
  <si>
    <t>Kệ Sách K</t>
  </si>
  <si>
    <t>Kho X1</t>
  </si>
  <si>
    <t>Tầng 1, Thư viện Khu B, HVKTQS</t>
  </si>
  <si>
    <t>Tầng 2, Thư viện Khu B, HVKTQS</t>
  </si>
  <si>
    <t>Kho X2</t>
  </si>
  <si>
    <t>Phòng 101, Thư viện cs Vĩnh Yên, HVKTQS</t>
  </si>
  <si>
    <t>Phòng 102, Thư viện cs Vĩnh Yên, HVKTQS</t>
  </si>
  <si>
    <t>Phòng 103, Thư viện cs Vĩnh Yên, HVKTQS</t>
  </si>
  <si>
    <t>Kho V1</t>
  </si>
  <si>
    <t>Kho V2</t>
  </si>
  <si>
    <t>Kho V3</t>
  </si>
  <si>
    <t>Kệ Sách C1</t>
  </si>
  <si>
    <t>Kệ Sách C2</t>
  </si>
  <si>
    <t>Chưa mượn</t>
  </si>
  <si>
    <t>Đã mượn</t>
  </si>
  <si>
    <t>SoLuong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</si>
</sst>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0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5" fillId="0" borderId="0" xfId="0" applyFont="1"/>
    <xf numFmtId="0" fontId="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2" fillId="0" borderId="0" xfId="0" applyFont="1" applyAlignment="1"/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workbookViewId="0">
      <selection activeCell="B12" sqref="B12"/>
    </sheetView>
  </sheetViews>
  <sheetFormatPr defaultRowHeight="15" x14ac:dyDescent="0.25"/>
  <cols>
    <col min="1" max="1" width="16" customWidth="1"/>
    <col min="2" max="2" width="20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18576</v>
      </c>
      <c r="B2" t="s">
        <v>4</v>
      </c>
    </row>
    <row r="3" spans="1:2" x14ac:dyDescent="0.25">
      <c r="A3">
        <v>18577</v>
      </c>
      <c r="B3" t="s">
        <v>5</v>
      </c>
    </row>
    <row r="4" spans="1:2" x14ac:dyDescent="0.25">
      <c r="A4">
        <v>18578</v>
      </c>
      <c r="B4" t="s">
        <v>50</v>
      </c>
    </row>
    <row r="5" spans="1:2" x14ac:dyDescent="0.25">
      <c r="A5">
        <v>18579</v>
      </c>
      <c r="B5" t="s">
        <v>51</v>
      </c>
    </row>
    <row r="6" spans="1:2" x14ac:dyDescent="0.25">
      <c r="A6">
        <v>18580</v>
      </c>
      <c r="B6" t="s">
        <v>52</v>
      </c>
    </row>
    <row r="7" spans="1:2" x14ac:dyDescent="0.25">
      <c r="A7">
        <v>18581</v>
      </c>
      <c r="B7" t="s">
        <v>156</v>
      </c>
    </row>
    <row r="8" spans="1:2" x14ac:dyDescent="0.25">
      <c r="A8">
        <v>18582</v>
      </c>
      <c r="B8" t="s">
        <v>369</v>
      </c>
    </row>
    <row r="9" spans="1:2" x14ac:dyDescent="0.25">
      <c r="A9">
        <v>18583</v>
      </c>
      <c r="B9" t="s">
        <v>370</v>
      </c>
    </row>
    <row r="10" spans="1:2" x14ac:dyDescent="0.25">
      <c r="A10">
        <v>18584</v>
      </c>
      <c r="B10" t="s">
        <v>376</v>
      </c>
    </row>
    <row r="11" spans="1:2" x14ac:dyDescent="0.25">
      <c r="A11">
        <v>18585</v>
      </c>
      <c r="B11" t="s">
        <v>379</v>
      </c>
    </row>
    <row r="12" spans="1:2" x14ac:dyDescent="0.25">
      <c r="A12">
        <v>18586</v>
      </c>
      <c r="B12" t="s">
        <v>381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A11" sqref="A2:A11"/>
    </sheetView>
  </sheetViews>
  <sheetFormatPr defaultRowHeight="15" x14ac:dyDescent="0.25"/>
  <cols>
    <col min="1" max="1" width="14.7109375" customWidth="1"/>
    <col min="2" max="2" width="32" customWidth="1"/>
  </cols>
  <sheetData>
    <row r="1" spans="1:2" x14ac:dyDescent="0.25">
      <c r="A1" t="s">
        <v>6</v>
      </c>
      <c r="B1" t="s">
        <v>7</v>
      </c>
    </row>
    <row r="2" spans="1:2" x14ac:dyDescent="0.25">
      <c r="A2">
        <v>1110</v>
      </c>
      <c r="B2" t="s">
        <v>54</v>
      </c>
    </row>
    <row r="3" spans="1:2" x14ac:dyDescent="0.25">
      <c r="A3">
        <v>1111</v>
      </c>
      <c r="B3" t="s">
        <v>55</v>
      </c>
    </row>
    <row r="4" spans="1:2" x14ac:dyDescent="0.25">
      <c r="A4">
        <v>1112</v>
      </c>
      <c r="B4" t="s">
        <v>398</v>
      </c>
    </row>
    <row r="5" spans="1:2" x14ac:dyDescent="0.25">
      <c r="A5">
        <v>1113</v>
      </c>
      <c r="B5" t="s">
        <v>399</v>
      </c>
    </row>
    <row r="6" spans="1:2" x14ac:dyDescent="0.25">
      <c r="A6">
        <v>1114</v>
      </c>
      <c r="B6" t="s">
        <v>56</v>
      </c>
    </row>
    <row r="7" spans="1:2" x14ac:dyDescent="0.25">
      <c r="A7">
        <v>1115</v>
      </c>
      <c r="B7" t="s">
        <v>383</v>
      </c>
    </row>
    <row r="8" spans="1:2" x14ac:dyDescent="0.25">
      <c r="A8">
        <v>1116</v>
      </c>
      <c r="B8" t="s">
        <v>384</v>
      </c>
    </row>
    <row r="9" spans="1:2" x14ac:dyDescent="0.25">
      <c r="A9">
        <v>1117</v>
      </c>
      <c r="B9" t="s">
        <v>385</v>
      </c>
    </row>
    <row r="10" spans="1:2" x14ac:dyDescent="0.25">
      <c r="A10">
        <v>1118</v>
      </c>
      <c r="B10" t="s">
        <v>386</v>
      </c>
    </row>
    <row r="11" spans="1:2" x14ac:dyDescent="0.25">
      <c r="A11">
        <v>1119</v>
      </c>
      <c r="B11" t="s">
        <v>387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Views>
    <sheetView workbookViewId="0">
      <selection activeCell="B21" sqref="B21"/>
    </sheetView>
  </sheetViews>
  <sheetFormatPr defaultRowHeight="15" x14ac:dyDescent="0.25"/>
  <cols>
    <col min="1" max="1" width="18.140625" customWidth="1"/>
    <col min="2" max="2" width="28.7109375" customWidth="1"/>
  </cols>
  <sheetData>
    <row r="1" spans="1:2" x14ac:dyDescent="0.25">
      <c r="A1" t="s">
        <v>6</v>
      </c>
      <c r="B1" t="s">
        <v>8</v>
      </c>
    </row>
    <row r="2" spans="1:2" x14ac:dyDescent="0.25">
      <c r="A2">
        <v>1110</v>
      </c>
      <c r="B2" t="s">
        <v>57</v>
      </c>
    </row>
    <row r="3" spans="1:2" x14ac:dyDescent="0.25">
      <c r="A3">
        <v>1111</v>
      </c>
      <c r="B3" t="s">
        <v>53</v>
      </c>
    </row>
    <row r="4" spans="1:2" x14ac:dyDescent="0.25">
      <c r="A4">
        <v>1112</v>
      </c>
      <c r="B4" t="s">
        <v>58</v>
      </c>
    </row>
    <row r="5" spans="1:2" x14ac:dyDescent="0.25">
      <c r="A5">
        <v>1113</v>
      </c>
      <c r="B5" t="s">
        <v>59</v>
      </c>
    </row>
    <row r="6" spans="1:2" x14ac:dyDescent="0.25">
      <c r="A6">
        <v>1114</v>
      </c>
      <c r="B6" t="s">
        <v>60</v>
      </c>
    </row>
    <row r="7" spans="1:2" x14ac:dyDescent="0.25">
      <c r="A7">
        <v>1110</v>
      </c>
      <c r="B7" t="s">
        <v>134</v>
      </c>
    </row>
    <row r="8" spans="1:2" x14ac:dyDescent="0.25">
      <c r="A8">
        <v>1111</v>
      </c>
      <c r="B8" t="s">
        <v>135</v>
      </c>
    </row>
    <row r="9" spans="1:2" x14ac:dyDescent="0.25">
      <c r="A9">
        <v>1112</v>
      </c>
      <c r="B9" t="s">
        <v>136</v>
      </c>
    </row>
    <row r="10" spans="1:2" x14ac:dyDescent="0.25">
      <c r="A10">
        <v>1113</v>
      </c>
      <c r="B10" t="s">
        <v>137</v>
      </c>
    </row>
    <row r="11" spans="1:2" x14ac:dyDescent="0.25">
      <c r="A11">
        <v>1114</v>
      </c>
      <c r="B11" t="s">
        <v>138</v>
      </c>
    </row>
    <row r="12" spans="1:2" x14ac:dyDescent="0.25">
      <c r="A12">
        <v>1110</v>
      </c>
      <c r="B12" t="s">
        <v>139</v>
      </c>
    </row>
    <row r="13" spans="1:2" x14ac:dyDescent="0.25">
      <c r="A13">
        <v>1111</v>
      </c>
      <c r="B13" t="s">
        <v>140</v>
      </c>
    </row>
    <row r="14" spans="1:2" x14ac:dyDescent="0.25">
      <c r="A14">
        <v>1112</v>
      </c>
      <c r="B14" t="s">
        <v>141</v>
      </c>
    </row>
    <row r="15" spans="1:2" x14ac:dyDescent="0.25">
      <c r="A15">
        <v>1113</v>
      </c>
      <c r="B15" t="s">
        <v>143</v>
      </c>
    </row>
    <row r="16" spans="1:2" x14ac:dyDescent="0.25">
      <c r="A16">
        <v>1114</v>
      </c>
      <c r="B16" t="s">
        <v>142</v>
      </c>
    </row>
    <row r="17" spans="1:2" x14ac:dyDescent="0.25">
      <c r="A17">
        <v>1110</v>
      </c>
      <c r="B17" t="s">
        <v>144</v>
      </c>
    </row>
    <row r="18" spans="1:2" x14ac:dyDescent="0.25">
      <c r="A18">
        <v>1111</v>
      </c>
      <c r="B18" t="s">
        <v>145</v>
      </c>
    </row>
    <row r="19" spans="1:2" x14ac:dyDescent="0.25">
      <c r="A19">
        <v>1112</v>
      </c>
      <c r="B19" t="s">
        <v>146</v>
      </c>
    </row>
    <row r="20" spans="1:2" x14ac:dyDescent="0.25">
      <c r="A20">
        <v>1113</v>
      </c>
      <c r="B20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A2" sqref="A2:A11"/>
    </sheetView>
  </sheetViews>
  <sheetFormatPr defaultRowHeight="15" x14ac:dyDescent="0.25"/>
  <cols>
    <col min="1" max="1" width="19.140625" customWidth="1"/>
    <col min="2" max="2" width="18.7109375" customWidth="1"/>
    <col min="3" max="3" width="42.570312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>
        <v>221</v>
      </c>
      <c r="B2" t="s">
        <v>61</v>
      </c>
      <c r="C2" t="s">
        <v>65</v>
      </c>
    </row>
    <row r="3" spans="1:3" x14ac:dyDescent="0.25">
      <c r="A3">
        <v>222</v>
      </c>
      <c r="B3" t="s">
        <v>62</v>
      </c>
      <c r="C3" t="s">
        <v>66</v>
      </c>
    </row>
    <row r="4" spans="1:3" x14ac:dyDescent="0.25">
      <c r="A4">
        <v>331</v>
      </c>
      <c r="B4" t="s">
        <v>63</v>
      </c>
      <c r="C4" t="s">
        <v>67</v>
      </c>
    </row>
    <row r="5" spans="1:3" x14ac:dyDescent="0.25">
      <c r="A5">
        <v>332</v>
      </c>
      <c r="B5" t="s">
        <v>64</v>
      </c>
      <c r="C5" t="s">
        <v>68</v>
      </c>
    </row>
    <row r="6" spans="1:3" x14ac:dyDescent="0.25">
      <c r="A6">
        <v>433</v>
      </c>
      <c r="B6" t="s">
        <v>106</v>
      </c>
      <c r="C6" t="s">
        <v>107</v>
      </c>
    </row>
    <row r="7" spans="1:3" x14ac:dyDescent="0.25">
      <c r="A7">
        <v>1</v>
      </c>
      <c r="B7" t="s">
        <v>388</v>
      </c>
      <c r="C7" t="s">
        <v>389</v>
      </c>
    </row>
    <row r="8" spans="1:3" x14ac:dyDescent="0.25">
      <c r="A8">
        <v>2</v>
      </c>
      <c r="B8" t="s">
        <v>391</v>
      </c>
      <c r="C8" t="s">
        <v>390</v>
      </c>
    </row>
    <row r="9" spans="1:3" x14ac:dyDescent="0.25">
      <c r="A9">
        <v>3</v>
      </c>
      <c r="B9" t="s">
        <v>395</v>
      </c>
      <c r="C9" t="s">
        <v>392</v>
      </c>
    </row>
    <row r="10" spans="1:3" x14ac:dyDescent="0.25">
      <c r="A10">
        <v>4</v>
      </c>
      <c r="B10" t="s">
        <v>396</v>
      </c>
      <c r="C10" t="s">
        <v>393</v>
      </c>
    </row>
    <row r="11" spans="1:3" x14ac:dyDescent="0.25">
      <c r="A11">
        <v>5</v>
      </c>
      <c r="B11" t="s">
        <v>397</v>
      </c>
      <c r="C11" t="s">
        <v>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A20" sqref="A2:A20"/>
    </sheetView>
  </sheetViews>
  <sheetFormatPr defaultRowHeight="15" x14ac:dyDescent="0.25"/>
  <cols>
    <col min="1" max="1" width="24" style="9" customWidth="1"/>
    <col min="2" max="2" width="34.5703125" style="9" customWidth="1"/>
    <col min="3" max="3" width="71.7109375" style="9" customWidth="1"/>
    <col min="4" max="4" width="16.85546875" style="12" customWidth="1"/>
    <col min="5" max="16384" width="9.140625" style="9"/>
  </cols>
  <sheetData>
    <row r="1" spans="1:4" ht="16.5" customHeight="1" x14ac:dyDescent="0.25">
      <c r="A1" s="9" t="s">
        <v>12</v>
      </c>
      <c r="B1" s="9" t="s">
        <v>13</v>
      </c>
      <c r="C1" s="9" t="s">
        <v>14</v>
      </c>
      <c r="D1" s="12" t="s">
        <v>15</v>
      </c>
    </row>
    <row r="2" spans="1:4" ht="16.5" customHeight="1" x14ac:dyDescent="0.25">
      <c r="A2" s="9">
        <v>4441</v>
      </c>
      <c r="B2" s="9" t="s">
        <v>69</v>
      </c>
      <c r="C2" s="9" t="s">
        <v>73</v>
      </c>
      <c r="D2" s="12">
        <v>437172838</v>
      </c>
    </row>
    <row r="3" spans="1:4" ht="16.5" customHeight="1" x14ac:dyDescent="0.25">
      <c r="A3" s="9">
        <v>4442</v>
      </c>
      <c r="B3" s="9" t="s">
        <v>70</v>
      </c>
      <c r="C3" s="15" t="s">
        <v>214</v>
      </c>
      <c r="D3" s="12">
        <v>2436805252</v>
      </c>
    </row>
    <row r="4" spans="1:4" ht="16.5" customHeight="1" x14ac:dyDescent="0.25">
      <c r="A4" s="9">
        <v>4443</v>
      </c>
      <c r="B4" s="9" t="s">
        <v>71</v>
      </c>
      <c r="C4" s="15" t="s">
        <v>74</v>
      </c>
      <c r="D4" s="12">
        <v>2839316289</v>
      </c>
    </row>
    <row r="5" spans="1:4" ht="16.5" customHeight="1" x14ac:dyDescent="0.25">
      <c r="A5" s="9">
        <v>4444</v>
      </c>
      <c r="B5" s="9" t="s">
        <v>75</v>
      </c>
      <c r="C5" s="9" t="s">
        <v>76</v>
      </c>
      <c r="D5" s="12">
        <v>983928269</v>
      </c>
    </row>
    <row r="6" spans="1:4" ht="16.5" customHeight="1" x14ac:dyDescent="0.25">
      <c r="A6" s="9">
        <v>4445</v>
      </c>
      <c r="B6" s="9" t="s">
        <v>72</v>
      </c>
      <c r="C6" s="9" t="s">
        <v>77</v>
      </c>
      <c r="D6" s="12">
        <v>969318982</v>
      </c>
    </row>
    <row r="7" spans="1:4" x14ac:dyDescent="0.25">
      <c r="A7" s="9">
        <v>4446</v>
      </c>
      <c r="B7" s="9" t="s">
        <v>178</v>
      </c>
      <c r="C7" s="9" t="s">
        <v>190</v>
      </c>
      <c r="D7" s="13">
        <v>19006035</v>
      </c>
    </row>
    <row r="8" spans="1:4" x14ac:dyDescent="0.25">
      <c r="A8" s="9">
        <v>4447</v>
      </c>
      <c r="B8" s="9" t="s">
        <v>179</v>
      </c>
      <c r="C8" s="9" t="s">
        <v>191</v>
      </c>
      <c r="D8" s="12">
        <v>1900636467</v>
      </c>
    </row>
    <row r="9" spans="1:4" x14ac:dyDescent="0.25">
      <c r="A9" s="9">
        <v>4448</v>
      </c>
      <c r="B9" s="9" t="s">
        <v>180</v>
      </c>
      <c r="C9" s="9" t="s">
        <v>192</v>
      </c>
      <c r="D9" s="12" t="s">
        <v>193</v>
      </c>
    </row>
    <row r="10" spans="1:4" x14ac:dyDescent="0.25">
      <c r="A10" s="9">
        <v>4449</v>
      </c>
      <c r="B10" s="11" t="s">
        <v>181</v>
      </c>
      <c r="C10" s="9" t="s">
        <v>194</v>
      </c>
      <c r="D10" s="14" t="s">
        <v>206</v>
      </c>
    </row>
    <row r="11" spans="1:4" x14ac:dyDescent="0.25">
      <c r="A11" s="9">
        <v>4450</v>
      </c>
      <c r="B11" s="11" t="s">
        <v>182</v>
      </c>
      <c r="C11" s="9" t="s">
        <v>195</v>
      </c>
      <c r="D11" s="12">
        <v>2432567333</v>
      </c>
    </row>
    <row r="12" spans="1:4" x14ac:dyDescent="0.25">
      <c r="A12" s="9">
        <v>4451</v>
      </c>
      <c r="B12" s="11" t="s">
        <v>183</v>
      </c>
      <c r="C12" s="9" t="s">
        <v>196</v>
      </c>
      <c r="D12" s="12">
        <v>2838227979</v>
      </c>
    </row>
    <row r="13" spans="1:4" x14ac:dyDescent="0.25">
      <c r="A13" s="9">
        <v>4452</v>
      </c>
      <c r="B13" s="9" t="s">
        <v>184</v>
      </c>
      <c r="C13" s="9" t="s">
        <v>197</v>
      </c>
      <c r="D13" s="12" t="s">
        <v>212</v>
      </c>
    </row>
    <row r="14" spans="1:4" x14ac:dyDescent="0.25">
      <c r="A14" s="9">
        <v>4453</v>
      </c>
      <c r="B14" s="9" t="s">
        <v>209</v>
      </c>
      <c r="C14" s="9" t="s">
        <v>210</v>
      </c>
      <c r="D14" s="12" t="s">
        <v>211</v>
      </c>
    </row>
    <row r="15" spans="1:4" x14ac:dyDescent="0.25">
      <c r="A15" s="9">
        <v>4454</v>
      </c>
      <c r="B15" s="11" t="s">
        <v>185</v>
      </c>
      <c r="C15" s="9" t="s">
        <v>198</v>
      </c>
      <c r="D15" s="12">
        <v>2439728108</v>
      </c>
    </row>
    <row r="16" spans="1:4" x14ac:dyDescent="0.25">
      <c r="A16" s="9">
        <v>4455</v>
      </c>
      <c r="B16" s="9" t="s">
        <v>207</v>
      </c>
      <c r="C16" s="9" t="s">
        <v>201</v>
      </c>
      <c r="D16" s="12">
        <v>43934063</v>
      </c>
    </row>
    <row r="17" spans="1:4" x14ac:dyDescent="0.25">
      <c r="A17" s="9">
        <v>4456</v>
      </c>
      <c r="B17" s="11" t="s">
        <v>186</v>
      </c>
      <c r="C17" s="9" t="s">
        <v>199</v>
      </c>
      <c r="D17" s="12" t="s">
        <v>200</v>
      </c>
    </row>
    <row r="18" spans="1:4" x14ac:dyDescent="0.25">
      <c r="A18" s="9">
        <v>4457</v>
      </c>
      <c r="B18" s="11" t="s">
        <v>187</v>
      </c>
      <c r="C18" s="9" t="s">
        <v>202</v>
      </c>
      <c r="D18" s="12" t="s">
        <v>203</v>
      </c>
    </row>
    <row r="19" spans="1:4" x14ac:dyDescent="0.25">
      <c r="A19" s="9">
        <v>4458</v>
      </c>
      <c r="B19" s="9" t="s">
        <v>188</v>
      </c>
      <c r="C19" s="9" t="s">
        <v>205</v>
      </c>
      <c r="D19" s="12" t="s">
        <v>213</v>
      </c>
    </row>
    <row r="20" spans="1:4" x14ac:dyDescent="0.25">
      <c r="A20" s="9">
        <v>4459</v>
      </c>
      <c r="B20" s="9" t="s">
        <v>189</v>
      </c>
      <c r="C20" s="9" t="s">
        <v>204</v>
      </c>
      <c r="D20" s="12" t="s">
        <v>208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workbookViewId="0">
      <selection activeCell="E19" sqref="E19"/>
    </sheetView>
  </sheetViews>
  <sheetFormatPr defaultRowHeight="15" x14ac:dyDescent="0.25"/>
  <cols>
    <col min="1" max="1" width="28.7109375" style="6" customWidth="1"/>
    <col min="2" max="2" width="43.5703125" style="4" customWidth="1"/>
    <col min="3" max="3" width="53.7109375" style="4" customWidth="1"/>
    <col min="4" max="4" width="24.28515625" style="7" customWidth="1"/>
    <col min="5" max="16384" width="9.140625" style="6"/>
  </cols>
  <sheetData>
    <row r="1" spans="1:4" x14ac:dyDescent="0.25">
      <c r="A1" s="6" t="s">
        <v>16</v>
      </c>
      <c r="B1" s="4" t="s">
        <v>17</v>
      </c>
      <c r="C1" s="4" t="s">
        <v>18</v>
      </c>
      <c r="D1" s="7" t="s">
        <v>19</v>
      </c>
    </row>
    <row r="2" spans="1:4" x14ac:dyDescent="0.25">
      <c r="A2" s="6">
        <v>551</v>
      </c>
      <c r="B2" s="4" t="s">
        <v>78</v>
      </c>
      <c r="C2" s="4" t="s">
        <v>84</v>
      </c>
      <c r="D2" s="7">
        <v>2439710717</v>
      </c>
    </row>
    <row r="3" spans="1:4" x14ac:dyDescent="0.25">
      <c r="A3" s="6">
        <v>552</v>
      </c>
      <c r="B3" s="4" t="s">
        <v>79</v>
      </c>
      <c r="C3" s="4" t="s">
        <v>148</v>
      </c>
      <c r="D3" s="7">
        <v>2438515380</v>
      </c>
    </row>
    <row r="4" spans="1:4" x14ac:dyDescent="0.25">
      <c r="A4" s="6">
        <v>553</v>
      </c>
      <c r="B4" s="4" t="s">
        <v>80</v>
      </c>
      <c r="C4" s="4" t="s">
        <v>82</v>
      </c>
      <c r="D4" s="7">
        <v>2838225340</v>
      </c>
    </row>
    <row r="5" spans="1:4" x14ac:dyDescent="0.25">
      <c r="A5" s="6">
        <v>554</v>
      </c>
      <c r="B5" s="4" t="s">
        <v>81</v>
      </c>
      <c r="C5" s="4" t="s">
        <v>83</v>
      </c>
      <c r="D5" s="7">
        <v>2439434730</v>
      </c>
    </row>
    <row r="6" spans="1:4" x14ac:dyDescent="0.25">
      <c r="A6" s="6">
        <v>555</v>
      </c>
      <c r="B6" s="4" t="s">
        <v>158</v>
      </c>
      <c r="C6" s="5" t="s">
        <v>105</v>
      </c>
      <c r="D6" s="7">
        <v>438252916</v>
      </c>
    </row>
    <row r="7" spans="1:4" x14ac:dyDescent="0.25">
      <c r="A7" s="6">
        <v>556</v>
      </c>
      <c r="B7" s="4" t="s">
        <v>159</v>
      </c>
      <c r="C7" s="4" t="s">
        <v>82</v>
      </c>
      <c r="D7" s="7" t="s">
        <v>113</v>
      </c>
    </row>
    <row r="8" spans="1:4" x14ac:dyDescent="0.25">
      <c r="A8" s="6">
        <v>557</v>
      </c>
      <c r="B8" s="4" t="s">
        <v>160</v>
      </c>
      <c r="C8" s="4" t="s">
        <v>114</v>
      </c>
      <c r="D8" s="7">
        <v>28049221</v>
      </c>
    </row>
    <row r="9" spans="1:4" x14ac:dyDescent="0.25">
      <c r="A9" s="6">
        <v>558</v>
      </c>
      <c r="B9" s="4" t="s">
        <v>161</v>
      </c>
      <c r="C9" s="4" t="s">
        <v>115</v>
      </c>
      <c r="D9" s="7">
        <v>2438220801</v>
      </c>
    </row>
    <row r="10" spans="1:4" x14ac:dyDescent="0.25">
      <c r="A10" s="6">
        <v>559</v>
      </c>
      <c r="B10" s="4" t="s">
        <v>162</v>
      </c>
      <c r="C10" s="4" t="s">
        <v>116</v>
      </c>
      <c r="D10" s="7">
        <v>2438222135</v>
      </c>
    </row>
    <row r="11" spans="1:4" x14ac:dyDescent="0.25">
      <c r="A11" s="6">
        <v>560</v>
      </c>
      <c r="B11" s="4" t="s">
        <v>163</v>
      </c>
      <c r="C11" s="4" t="s">
        <v>117</v>
      </c>
      <c r="D11" s="7">
        <v>2462632078</v>
      </c>
    </row>
    <row r="12" spans="1:4" x14ac:dyDescent="0.25">
      <c r="A12" s="6">
        <v>561</v>
      </c>
      <c r="B12" s="4" t="s">
        <v>164</v>
      </c>
      <c r="C12" s="4" t="s">
        <v>118</v>
      </c>
      <c r="D12" s="7" t="s">
        <v>119</v>
      </c>
    </row>
    <row r="13" spans="1:4" x14ac:dyDescent="0.25">
      <c r="A13" s="6">
        <v>562</v>
      </c>
      <c r="B13" s="4" t="s">
        <v>165</v>
      </c>
      <c r="C13" s="4" t="s">
        <v>120</v>
      </c>
      <c r="D13" s="7" t="s">
        <v>121</v>
      </c>
    </row>
    <row r="14" spans="1:4" x14ac:dyDescent="0.25">
      <c r="A14" s="6">
        <v>563</v>
      </c>
      <c r="B14" s="4" t="s">
        <v>166</v>
      </c>
      <c r="C14" s="4" t="s">
        <v>122</v>
      </c>
      <c r="D14" s="7" t="s">
        <v>149</v>
      </c>
    </row>
    <row r="15" spans="1:4" x14ac:dyDescent="0.25">
      <c r="A15" s="6">
        <v>564</v>
      </c>
      <c r="B15" s="4" t="s">
        <v>167</v>
      </c>
      <c r="C15" s="4" t="s">
        <v>123</v>
      </c>
      <c r="D15" s="7" t="s">
        <v>124</v>
      </c>
    </row>
    <row r="16" spans="1:4" x14ac:dyDescent="0.25">
      <c r="A16" s="6">
        <v>565</v>
      </c>
      <c r="B16" s="4" t="s">
        <v>168</v>
      </c>
      <c r="C16" s="4" t="s">
        <v>125</v>
      </c>
    </row>
    <row r="17" spans="1:4" x14ac:dyDescent="0.25">
      <c r="A17" s="6">
        <v>566</v>
      </c>
      <c r="B17" s="4" t="s">
        <v>169</v>
      </c>
      <c r="C17" s="4" t="s">
        <v>126</v>
      </c>
    </row>
    <row r="18" spans="1:4" x14ac:dyDescent="0.25">
      <c r="A18" s="6">
        <v>567</v>
      </c>
      <c r="B18" s="4" t="s">
        <v>170</v>
      </c>
      <c r="C18" s="4" t="s">
        <v>127</v>
      </c>
    </row>
    <row r="19" spans="1:4" x14ac:dyDescent="0.25">
      <c r="A19" s="6">
        <v>568</v>
      </c>
      <c r="B19" s="4" t="s">
        <v>171</v>
      </c>
      <c r="C19" s="4" t="s">
        <v>128</v>
      </c>
    </row>
    <row r="20" spans="1:4" x14ac:dyDescent="0.25">
      <c r="A20" s="6">
        <v>569</v>
      </c>
      <c r="B20" s="4" t="s">
        <v>129</v>
      </c>
      <c r="C20" s="4" t="s">
        <v>132</v>
      </c>
      <c r="D20" s="7" t="s">
        <v>133</v>
      </c>
    </row>
    <row r="21" spans="1:4" x14ac:dyDescent="0.25">
      <c r="A21" s="6">
        <v>570</v>
      </c>
      <c r="B21" s="4" t="s">
        <v>131</v>
      </c>
      <c r="C21" s="4" t="s">
        <v>130</v>
      </c>
      <c r="D21" s="7">
        <v>2438455766</v>
      </c>
    </row>
    <row r="22" spans="1:4" x14ac:dyDescent="0.25">
      <c r="A22" s="6">
        <v>571</v>
      </c>
      <c r="B22" s="4" t="s">
        <v>172</v>
      </c>
      <c r="C22" s="4" t="s">
        <v>173</v>
      </c>
      <c r="D22" s="7" t="s">
        <v>174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4"/>
  <sheetViews>
    <sheetView topLeftCell="A70" workbookViewId="0">
      <selection activeCell="A84" sqref="A84:XFD84"/>
    </sheetView>
  </sheetViews>
  <sheetFormatPr defaultRowHeight="15" x14ac:dyDescent="0.25"/>
  <cols>
    <col min="1" max="1" width="29.140625" customWidth="1"/>
    <col min="2" max="2" width="19.28515625" style="2" customWidth="1"/>
    <col min="3" max="3" width="19.42578125" customWidth="1"/>
    <col min="4" max="4" width="18.140625" customWidth="1"/>
  </cols>
  <sheetData>
    <row r="1" spans="1:4" x14ac:dyDescent="0.25">
      <c r="A1" t="s">
        <v>20</v>
      </c>
      <c r="B1" s="3" t="s">
        <v>21</v>
      </c>
      <c r="C1" t="s">
        <v>22</v>
      </c>
      <c r="D1" t="s">
        <v>23</v>
      </c>
    </row>
    <row r="2" spans="1:4" x14ac:dyDescent="0.25">
      <c r="A2">
        <v>17150001</v>
      </c>
      <c r="B2" s="2" t="s">
        <v>85</v>
      </c>
      <c r="C2" s="1">
        <v>44601</v>
      </c>
      <c r="D2">
        <v>2</v>
      </c>
    </row>
    <row r="3" spans="1:4" x14ac:dyDescent="0.25">
      <c r="A3">
        <v>17150002</v>
      </c>
      <c r="B3" s="2" t="s">
        <v>85</v>
      </c>
      <c r="C3" s="1">
        <v>44777</v>
      </c>
      <c r="D3">
        <v>2</v>
      </c>
    </row>
    <row r="4" spans="1:4" x14ac:dyDescent="0.25">
      <c r="A4">
        <v>17150003</v>
      </c>
      <c r="B4" s="2" t="s">
        <v>85</v>
      </c>
      <c r="C4" s="1">
        <v>45049</v>
      </c>
      <c r="D4">
        <v>3</v>
      </c>
    </row>
    <row r="5" spans="1:4" x14ac:dyDescent="0.25">
      <c r="A5">
        <v>17150004</v>
      </c>
      <c r="B5" s="2" t="s">
        <v>85</v>
      </c>
      <c r="C5" s="1">
        <v>45272</v>
      </c>
      <c r="D5">
        <v>0</v>
      </c>
    </row>
    <row r="6" spans="1:4" x14ac:dyDescent="0.25">
      <c r="A6">
        <v>18150230</v>
      </c>
      <c r="B6" s="2" t="s">
        <v>85</v>
      </c>
      <c r="C6" s="1">
        <v>44878</v>
      </c>
      <c r="D6">
        <v>1</v>
      </c>
    </row>
    <row r="7" spans="1:4" x14ac:dyDescent="0.25">
      <c r="A7">
        <v>18150169</v>
      </c>
      <c r="B7" s="2" t="s">
        <v>85</v>
      </c>
      <c r="C7" s="1">
        <v>44601</v>
      </c>
      <c r="D7">
        <v>1</v>
      </c>
    </row>
    <row r="8" spans="1:4" x14ac:dyDescent="0.25">
      <c r="A8">
        <v>18150232</v>
      </c>
      <c r="B8" s="2" t="s">
        <v>85</v>
      </c>
      <c r="C8" s="1">
        <v>44777</v>
      </c>
      <c r="D8">
        <v>1</v>
      </c>
    </row>
    <row r="9" spans="1:4" x14ac:dyDescent="0.25">
      <c r="A9">
        <v>18150172</v>
      </c>
      <c r="B9" s="2" t="s">
        <v>85</v>
      </c>
      <c r="C9" s="1">
        <v>45049</v>
      </c>
      <c r="D9">
        <v>1</v>
      </c>
    </row>
    <row r="10" spans="1:4" x14ac:dyDescent="0.25">
      <c r="A10">
        <v>18150173</v>
      </c>
      <c r="B10" s="2" t="s">
        <v>85</v>
      </c>
      <c r="C10" s="1">
        <v>45272</v>
      </c>
      <c r="D10">
        <v>1</v>
      </c>
    </row>
    <row r="11" spans="1:4" x14ac:dyDescent="0.25">
      <c r="A11">
        <v>18150174</v>
      </c>
      <c r="B11" s="2" t="s">
        <v>85</v>
      </c>
      <c r="C11" s="1">
        <v>44878</v>
      </c>
      <c r="D11">
        <v>1</v>
      </c>
    </row>
    <row r="12" spans="1:4" x14ac:dyDescent="0.25">
      <c r="A12">
        <v>18150233</v>
      </c>
      <c r="B12" s="2" t="s">
        <v>85</v>
      </c>
      <c r="C12" s="1">
        <v>44601</v>
      </c>
      <c r="D12">
        <v>1</v>
      </c>
    </row>
    <row r="13" spans="1:4" x14ac:dyDescent="0.25">
      <c r="A13">
        <v>18150171</v>
      </c>
      <c r="B13" s="2" t="s">
        <v>85</v>
      </c>
      <c r="C13" s="1">
        <v>44777</v>
      </c>
      <c r="D13">
        <v>1</v>
      </c>
    </row>
    <row r="14" spans="1:4" x14ac:dyDescent="0.25">
      <c r="A14">
        <v>18150234</v>
      </c>
      <c r="B14" s="2" t="s">
        <v>85</v>
      </c>
      <c r="C14" s="1">
        <v>45049</v>
      </c>
      <c r="D14">
        <v>1</v>
      </c>
    </row>
    <row r="15" spans="1:4" x14ac:dyDescent="0.25">
      <c r="A15">
        <v>18150238</v>
      </c>
      <c r="B15" s="2" t="s">
        <v>85</v>
      </c>
      <c r="C15" s="1">
        <v>45272</v>
      </c>
      <c r="D15">
        <v>1</v>
      </c>
    </row>
    <row r="16" spans="1:4" x14ac:dyDescent="0.25">
      <c r="A16">
        <v>17150003</v>
      </c>
      <c r="B16" s="2" t="s">
        <v>85</v>
      </c>
      <c r="C16" s="1">
        <v>44878</v>
      </c>
      <c r="D16">
        <v>1</v>
      </c>
    </row>
    <row r="17" spans="1:4" x14ac:dyDescent="0.25">
      <c r="A17">
        <v>17150085</v>
      </c>
      <c r="B17" s="2" t="s">
        <v>85</v>
      </c>
      <c r="C17" s="1">
        <v>44601</v>
      </c>
      <c r="D17">
        <v>1</v>
      </c>
    </row>
    <row r="18" spans="1:4" x14ac:dyDescent="0.25">
      <c r="A18">
        <v>18150175</v>
      </c>
      <c r="B18" s="2" t="s">
        <v>85</v>
      </c>
      <c r="C18" s="1">
        <v>45272</v>
      </c>
      <c r="D18">
        <v>1</v>
      </c>
    </row>
    <row r="19" spans="1:4" x14ac:dyDescent="0.25">
      <c r="A19">
        <v>16150084</v>
      </c>
      <c r="B19" s="2" t="s">
        <v>85</v>
      </c>
      <c r="C19" s="1">
        <v>44878</v>
      </c>
      <c r="D19">
        <v>2</v>
      </c>
    </row>
    <row r="20" spans="1:4" x14ac:dyDescent="0.25">
      <c r="A20">
        <v>18150179</v>
      </c>
      <c r="B20" s="2" t="s">
        <v>85</v>
      </c>
      <c r="C20" s="1">
        <v>44601</v>
      </c>
      <c r="D20">
        <v>3</v>
      </c>
    </row>
    <row r="21" spans="1:4" x14ac:dyDescent="0.25">
      <c r="A21">
        <v>16150229</v>
      </c>
      <c r="B21" s="2" t="s">
        <v>85</v>
      </c>
      <c r="C21" s="1">
        <v>45272</v>
      </c>
      <c r="D21">
        <v>4</v>
      </c>
    </row>
    <row r="22" spans="1:4" x14ac:dyDescent="0.25">
      <c r="A22">
        <v>15150015</v>
      </c>
      <c r="B22" s="2" t="s">
        <v>85</v>
      </c>
      <c r="C22" s="1">
        <v>44878</v>
      </c>
      <c r="D22">
        <v>2</v>
      </c>
    </row>
    <row r="23" spans="1:4" x14ac:dyDescent="0.25">
      <c r="A23">
        <v>18150123</v>
      </c>
      <c r="B23" s="2" t="s">
        <v>85</v>
      </c>
      <c r="C23" s="1">
        <v>44601</v>
      </c>
      <c r="D23">
        <v>1</v>
      </c>
    </row>
    <row r="24" spans="1:4" x14ac:dyDescent="0.25">
      <c r="A24">
        <v>18150187</v>
      </c>
      <c r="B24" s="2" t="s">
        <v>85</v>
      </c>
      <c r="C24" s="1">
        <f t="shared" ref="C24:C55" ca="1" si="0">RANDBETWEEN(DATE(2021,1,1),DATE(2023,12,31))</f>
        <v>44281</v>
      </c>
      <c r="D24">
        <v>1</v>
      </c>
    </row>
    <row r="25" spans="1:4" x14ac:dyDescent="0.25">
      <c r="A25">
        <v>18150188</v>
      </c>
      <c r="B25" s="2" t="s">
        <v>85</v>
      </c>
      <c r="C25" s="1">
        <f t="shared" ca="1" si="0"/>
        <v>44673</v>
      </c>
      <c r="D25">
        <v>2</v>
      </c>
    </row>
    <row r="26" spans="1:4" x14ac:dyDescent="0.25">
      <c r="A26">
        <v>18150185</v>
      </c>
      <c r="B26" s="2" t="s">
        <v>85</v>
      </c>
      <c r="C26" s="1">
        <f t="shared" ca="1" si="0"/>
        <v>44685</v>
      </c>
      <c r="D26">
        <v>2</v>
      </c>
    </row>
    <row r="27" spans="1:4" x14ac:dyDescent="0.25">
      <c r="A27">
        <v>17151004</v>
      </c>
      <c r="B27" s="2" t="s">
        <v>85</v>
      </c>
      <c r="C27" s="1">
        <f t="shared" ca="1" si="0"/>
        <v>44823</v>
      </c>
      <c r="D27">
        <v>2</v>
      </c>
    </row>
    <row r="28" spans="1:4" x14ac:dyDescent="0.25">
      <c r="A28">
        <v>18150248</v>
      </c>
      <c r="B28" s="2" t="s">
        <v>85</v>
      </c>
      <c r="C28" s="1">
        <f t="shared" ca="1" si="0"/>
        <v>44833</v>
      </c>
      <c r="D28">
        <v>2</v>
      </c>
    </row>
    <row r="29" spans="1:4" x14ac:dyDescent="0.25">
      <c r="A29">
        <v>18150249</v>
      </c>
      <c r="B29" s="2" t="s">
        <v>85</v>
      </c>
      <c r="C29" s="1">
        <f t="shared" ca="1" si="0"/>
        <v>44522</v>
      </c>
      <c r="D29">
        <v>2</v>
      </c>
    </row>
    <row r="30" spans="1:4" x14ac:dyDescent="0.25">
      <c r="A30">
        <v>18150181</v>
      </c>
      <c r="B30" s="2" t="s">
        <v>85</v>
      </c>
      <c r="C30" s="1">
        <f t="shared" ca="1" si="0"/>
        <v>44462</v>
      </c>
      <c r="D30">
        <v>2</v>
      </c>
    </row>
    <row r="31" spans="1:4" x14ac:dyDescent="0.25">
      <c r="A31">
        <v>17150008</v>
      </c>
      <c r="B31" s="2" t="s">
        <v>85</v>
      </c>
      <c r="C31" s="1">
        <f t="shared" ca="1" si="0"/>
        <v>44622</v>
      </c>
      <c r="D31">
        <v>2</v>
      </c>
    </row>
    <row r="32" spans="1:4" x14ac:dyDescent="0.25">
      <c r="A32">
        <v>17150424</v>
      </c>
      <c r="B32" s="2" t="s">
        <v>85</v>
      </c>
      <c r="C32" s="1">
        <f t="shared" ca="1" si="0"/>
        <v>45049</v>
      </c>
      <c r="D32">
        <v>1</v>
      </c>
    </row>
    <row r="33" spans="1:4" x14ac:dyDescent="0.25">
      <c r="A33">
        <v>17150010</v>
      </c>
      <c r="B33" s="2" t="s">
        <v>85</v>
      </c>
      <c r="C33" s="1">
        <f t="shared" ca="1" si="0"/>
        <v>44734</v>
      </c>
      <c r="D33">
        <v>3</v>
      </c>
    </row>
    <row r="34" spans="1:4" x14ac:dyDescent="0.25">
      <c r="A34">
        <v>18150183</v>
      </c>
      <c r="B34" s="2" t="s">
        <v>85</v>
      </c>
      <c r="C34" s="1">
        <f t="shared" ca="1" si="0"/>
        <v>45091</v>
      </c>
      <c r="D34">
        <v>2</v>
      </c>
    </row>
    <row r="35" spans="1:4" x14ac:dyDescent="0.25">
      <c r="A35">
        <v>18150246</v>
      </c>
      <c r="B35" s="2" t="s">
        <v>85</v>
      </c>
      <c r="C35" s="1">
        <f t="shared" ca="1" si="0"/>
        <v>44795</v>
      </c>
      <c r="D35">
        <v>3</v>
      </c>
    </row>
    <row r="36" spans="1:4" x14ac:dyDescent="0.25">
      <c r="A36">
        <v>18150189</v>
      </c>
      <c r="B36" s="2" t="s">
        <v>85</v>
      </c>
      <c r="C36" s="1">
        <f t="shared" ca="1" si="0"/>
        <v>45179</v>
      </c>
      <c r="D36">
        <v>2</v>
      </c>
    </row>
    <row r="37" spans="1:4" x14ac:dyDescent="0.25">
      <c r="A37">
        <v>17150020</v>
      </c>
      <c r="B37" s="2" t="s">
        <v>85</v>
      </c>
      <c r="C37" s="1">
        <f t="shared" ca="1" si="0"/>
        <v>44862</v>
      </c>
      <c r="D37">
        <v>1</v>
      </c>
    </row>
    <row r="38" spans="1:4" x14ac:dyDescent="0.25">
      <c r="A38">
        <v>18150190</v>
      </c>
      <c r="B38" s="2" t="s">
        <v>85</v>
      </c>
      <c r="C38" s="1">
        <f t="shared" ca="1" si="0"/>
        <v>44234</v>
      </c>
      <c r="D38">
        <v>3</v>
      </c>
    </row>
    <row r="39" spans="1:4" x14ac:dyDescent="0.25">
      <c r="A39">
        <v>16150100</v>
      </c>
      <c r="B39" s="2" t="s">
        <v>85</v>
      </c>
      <c r="C39" s="1">
        <f t="shared" ca="1" si="0"/>
        <v>44912</v>
      </c>
      <c r="D39">
        <v>3</v>
      </c>
    </row>
    <row r="40" spans="1:4" x14ac:dyDescent="0.25">
      <c r="A40">
        <v>18150255</v>
      </c>
      <c r="B40" s="2" t="s">
        <v>85</v>
      </c>
      <c r="C40" s="1">
        <f t="shared" ca="1" si="0"/>
        <v>44354</v>
      </c>
      <c r="D40">
        <v>1</v>
      </c>
    </row>
    <row r="41" spans="1:4" x14ac:dyDescent="0.25">
      <c r="A41">
        <v>18150256</v>
      </c>
      <c r="B41" s="2" t="s">
        <v>85</v>
      </c>
      <c r="C41" s="1">
        <f t="shared" ca="1" si="0"/>
        <v>44726</v>
      </c>
      <c r="D41">
        <v>1</v>
      </c>
    </row>
    <row r="42" spans="1:4" x14ac:dyDescent="0.25">
      <c r="A42">
        <v>18150257</v>
      </c>
      <c r="B42" s="2" t="s">
        <v>85</v>
      </c>
      <c r="C42" s="1">
        <f t="shared" ca="1" si="0"/>
        <v>44397</v>
      </c>
      <c r="D42">
        <f t="shared" ref="D42:D84" ca="1" si="1">RANDBETWEEN(0, 4)</f>
        <v>3</v>
      </c>
    </row>
    <row r="43" spans="1:4" x14ac:dyDescent="0.25">
      <c r="A43">
        <v>17151003</v>
      </c>
      <c r="B43" s="2" t="s">
        <v>85</v>
      </c>
      <c r="C43" s="1">
        <f t="shared" ca="1" si="0"/>
        <v>44608</v>
      </c>
      <c r="D43">
        <f t="shared" ca="1" si="1"/>
        <v>3</v>
      </c>
    </row>
    <row r="44" spans="1:4" x14ac:dyDescent="0.25">
      <c r="A44">
        <v>17150111</v>
      </c>
      <c r="B44" s="2" t="s">
        <v>85</v>
      </c>
      <c r="C44" s="1">
        <f t="shared" ca="1" si="0"/>
        <v>45159</v>
      </c>
      <c r="D44">
        <f t="shared" ca="1" si="1"/>
        <v>4</v>
      </c>
    </row>
    <row r="45" spans="1:4" x14ac:dyDescent="0.25">
      <c r="A45">
        <v>17150028</v>
      </c>
      <c r="B45" s="2" t="s">
        <v>85</v>
      </c>
      <c r="C45" s="1">
        <f t="shared" ca="1" si="0"/>
        <v>44558</v>
      </c>
      <c r="D45">
        <f t="shared" ca="1" si="1"/>
        <v>2</v>
      </c>
    </row>
    <row r="46" spans="1:4" x14ac:dyDescent="0.25">
      <c r="A46">
        <v>18150139</v>
      </c>
      <c r="B46" s="2" t="s">
        <v>85</v>
      </c>
      <c r="C46" s="1">
        <f t="shared" ca="1" si="0"/>
        <v>44335</v>
      </c>
      <c r="D46">
        <f t="shared" ca="1" si="1"/>
        <v>0</v>
      </c>
    </row>
    <row r="47" spans="1:4" x14ac:dyDescent="0.25">
      <c r="A47">
        <v>14150503</v>
      </c>
      <c r="B47" s="2" t="s">
        <v>85</v>
      </c>
      <c r="C47" s="1">
        <f t="shared" ca="1" si="0"/>
        <v>44546</v>
      </c>
      <c r="D47">
        <f t="shared" ca="1" si="1"/>
        <v>4</v>
      </c>
    </row>
    <row r="48" spans="1:4" x14ac:dyDescent="0.25">
      <c r="A48">
        <v>15151019</v>
      </c>
      <c r="B48" s="2" t="s">
        <v>85</v>
      </c>
      <c r="C48" s="1">
        <f t="shared" ca="1" si="0"/>
        <v>44254</v>
      </c>
      <c r="D48">
        <f t="shared" ca="1" si="1"/>
        <v>2</v>
      </c>
    </row>
    <row r="49" spans="1:4" x14ac:dyDescent="0.25">
      <c r="A49">
        <v>17150029</v>
      </c>
      <c r="B49" s="2" t="s">
        <v>85</v>
      </c>
      <c r="C49" s="1">
        <f t="shared" ca="1" si="0"/>
        <v>44682</v>
      </c>
      <c r="D49">
        <f t="shared" ca="1" si="1"/>
        <v>0</v>
      </c>
    </row>
    <row r="50" spans="1:4" x14ac:dyDescent="0.25">
      <c r="A50">
        <v>17150031</v>
      </c>
      <c r="B50" s="2" t="s">
        <v>85</v>
      </c>
      <c r="C50" s="1">
        <f t="shared" ca="1" si="0"/>
        <v>44506</v>
      </c>
      <c r="D50">
        <f t="shared" ca="1" si="1"/>
        <v>2</v>
      </c>
    </row>
    <row r="51" spans="1:4" x14ac:dyDescent="0.25">
      <c r="A51">
        <v>18150193</v>
      </c>
      <c r="B51" s="2" t="s">
        <v>85</v>
      </c>
      <c r="C51" s="1">
        <f t="shared" ca="1" si="0"/>
        <v>44987</v>
      </c>
      <c r="D51">
        <f t="shared" ca="1" si="1"/>
        <v>0</v>
      </c>
    </row>
    <row r="52" spans="1:4" x14ac:dyDescent="0.25">
      <c r="A52">
        <v>18150266</v>
      </c>
      <c r="B52" s="2" t="s">
        <v>85</v>
      </c>
      <c r="C52" s="1">
        <f t="shared" ca="1" si="0"/>
        <v>45179</v>
      </c>
      <c r="D52">
        <f t="shared" ca="1" si="1"/>
        <v>0</v>
      </c>
    </row>
    <row r="53" spans="1:4" x14ac:dyDescent="0.25">
      <c r="A53">
        <v>15150830</v>
      </c>
      <c r="B53" s="2" t="s">
        <v>85</v>
      </c>
      <c r="C53" s="1">
        <f t="shared" ca="1" si="0"/>
        <v>44201</v>
      </c>
      <c r="D53">
        <f t="shared" ca="1" si="1"/>
        <v>1</v>
      </c>
    </row>
    <row r="54" spans="1:4" x14ac:dyDescent="0.25">
      <c r="A54">
        <v>15150004</v>
      </c>
      <c r="B54" s="2" t="s">
        <v>85</v>
      </c>
      <c r="C54" s="1">
        <f t="shared" ca="1" si="0"/>
        <v>44340</v>
      </c>
      <c r="D54">
        <f t="shared" ca="1" si="1"/>
        <v>4</v>
      </c>
    </row>
    <row r="55" spans="1:4" x14ac:dyDescent="0.25">
      <c r="A55">
        <v>17150123</v>
      </c>
      <c r="B55" s="2" t="s">
        <v>85</v>
      </c>
      <c r="C55" s="1">
        <f t="shared" ca="1" si="0"/>
        <v>44912</v>
      </c>
      <c r="D55">
        <f t="shared" ca="1" si="1"/>
        <v>0</v>
      </c>
    </row>
    <row r="56" spans="1:4" x14ac:dyDescent="0.25">
      <c r="A56">
        <v>16151459</v>
      </c>
      <c r="B56" s="2" t="s">
        <v>85</v>
      </c>
      <c r="C56" s="1">
        <f t="shared" ref="C56:C84" ca="1" si="2">RANDBETWEEN(DATE(2021,1,1),DATE(2023,12,31))</f>
        <v>44424</v>
      </c>
      <c r="D56">
        <f t="shared" ca="1" si="1"/>
        <v>4</v>
      </c>
    </row>
    <row r="57" spans="1:4" x14ac:dyDescent="0.25">
      <c r="A57">
        <v>18150142</v>
      </c>
      <c r="B57" s="2" t="s">
        <v>85</v>
      </c>
      <c r="C57" s="1">
        <f t="shared" ca="1" si="2"/>
        <v>45264</v>
      </c>
      <c r="D57">
        <f t="shared" ca="1" si="1"/>
        <v>3</v>
      </c>
    </row>
    <row r="58" spans="1:4" x14ac:dyDescent="0.25">
      <c r="A58">
        <v>16150330</v>
      </c>
      <c r="B58" s="2" t="s">
        <v>85</v>
      </c>
      <c r="C58" s="1">
        <f t="shared" ca="1" si="2"/>
        <v>45177</v>
      </c>
      <c r="D58">
        <f t="shared" ca="1" si="1"/>
        <v>0</v>
      </c>
    </row>
    <row r="59" spans="1:4" x14ac:dyDescent="0.25">
      <c r="A59">
        <v>18150194</v>
      </c>
      <c r="B59" s="2" t="s">
        <v>85</v>
      </c>
      <c r="C59" s="1">
        <f t="shared" ca="1" si="2"/>
        <v>45232</v>
      </c>
      <c r="D59">
        <f t="shared" ca="1" si="1"/>
        <v>3</v>
      </c>
    </row>
    <row r="60" spans="1:4" x14ac:dyDescent="0.25">
      <c r="A60">
        <v>18150196</v>
      </c>
      <c r="B60" s="2" t="s">
        <v>85</v>
      </c>
      <c r="C60" s="1">
        <f t="shared" ca="1" si="2"/>
        <v>44813</v>
      </c>
      <c r="D60">
        <f t="shared" ca="1" si="1"/>
        <v>0</v>
      </c>
    </row>
    <row r="61" spans="1:4" x14ac:dyDescent="0.25">
      <c r="A61">
        <v>17150132</v>
      </c>
      <c r="B61" s="2" t="s">
        <v>85</v>
      </c>
      <c r="C61" s="1">
        <f t="shared" ca="1" si="2"/>
        <v>45150</v>
      </c>
      <c r="D61">
        <f t="shared" ca="1" si="1"/>
        <v>1</v>
      </c>
    </row>
    <row r="62" spans="1:4" x14ac:dyDescent="0.25">
      <c r="A62">
        <v>18150198</v>
      </c>
      <c r="B62" s="2" t="s">
        <v>85</v>
      </c>
      <c r="C62" s="1">
        <f t="shared" ca="1" si="2"/>
        <v>44595</v>
      </c>
      <c r="D62">
        <f t="shared" ca="1" si="1"/>
        <v>0</v>
      </c>
    </row>
    <row r="63" spans="1:4" x14ac:dyDescent="0.25">
      <c r="A63">
        <v>18150199</v>
      </c>
      <c r="B63" s="2" t="s">
        <v>85</v>
      </c>
      <c r="C63" s="1">
        <f t="shared" ca="1" si="2"/>
        <v>44622</v>
      </c>
      <c r="D63">
        <f t="shared" ca="1" si="1"/>
        <v>3</v>
      </c>
    </row>
    <row r="64" spans="1:4" x14ac:dyDescent="0.25">
      <c r="A64">
        <v>16150116</v>
      </c>
      <c r="B64" s="2" t="s">
        <v>85</v>
      </c>
      <c r="C64" s="1">
        <f t="shared" ca="1" si="2"/>
        <v>45127</v>
      </c>
      <c r="D64">
        <f t="shared" ca="1" si="1"/>
        <v>2</v>
      </c>
    </row>
    <row r="65" spans="1:4" x14ac:dyDescent="0.25">
      <c r="A65">
        <v>18150202</v>
      </c>
      <c r="B65" s="2" t="s">
        <v>85</v>
      </c>
      <c r="C65" s="1">
        <f t="shared" ca="1" si="2"/>
        <v>44853</v>
      </c>
      <c r="D65">
        <f t="shared" ca="1" si="1"/>
        <v>0</v>
      </c>
    </row>
    <row r="66" spans="1:4" x14ac:dyDescent="0.25">
      <c r="A66">
        <v>16150180</v>
      </c>
      <c r="B66" s="2" t="s">
        <v>85</v>
      </c>
      <c r="C66" s="1">
        <f t="shared" ca="1" si="2"/>
        <v>44813</v>
      </c>
      <c r="D66">
        <f t="shared" ca="1" si="1"/>
        <v>0</v>
      </c>
    </row>
    <row r="67" spans="1:4" x14ac:dyDescent="0.25">
      <c r="A67">
        <v>16150776</v>
      </c>
      <c r="B67" s="2" t="s">
        <v>85</v>
      </c>
      <c r="C67" s="1">
        <f t="shared" ca="1" si="2"/>
        <v>44472</v>
      </c>
      <c r="D67">
        <f t="shared" ca="1" si="1"/>
        <v>0</v>
      </c>
    </row>
    <row r="68" spans="1:4" x14ac:dyDescent="0.25">
      <c r="A68">
        <v>17150150</v>
      </c>
      <c r="B68" s="2" t="s">
        <v>85</v>
      </c>
      <c r="C68" s="1">
        <f t="shared" ca="1" si="2"/>
        <v>44400</v>
      </c>
      <c r="D68">
        <f t="shared" ca="1" si="1"/>
        <v>4</v>
      </c>
    </row>
    <row r="69" spans="1:4" x14ac:dyDescent="0.25">
      <c r="A69">
        <v>16150120</v>
      </c>
      <c r="B69" s="2" t="s">
        <v>85</v>
      </c>
      <c r="C69" s="1">
        <f t="shared" ca="1" si="2"/>
        <v>45205</v>
      </c>
      <c r="D69">
        <f t="shared" ca="1" si="1"/>
        <v>2</v>
      </c>
    </row>
    <row r="70" spans="1:4" x14ac:dyDescent="0.25">
      <c r="A70">
        <v>15151042</v>
      </c>
      <c r="B70" s="2" t="s">
        <v>85</v>
      </c>
      <c r="C70" s="1">
        <f t="shared" ca="1" si="2"/>
        <v>44768</v>
      </c>
      <c r="D70">
        <f t="shared" ca="1" si="1"/>
        <v>0</v>
      </c>
    </row>
    <row r="71" spans="1:4" x14ac:dyDescent="0.25">
      <c r="A71">
        <v>18150206</v>
      </c>
      <c r="B71" s="2" t="s">
        <v>85</v>
      </c>
      <c r="C71" s="1">
        <f t="shared" ca="1" si="2"/>
        <v>44485</v>
      </c>
      <c r="D71">
        <f t="shared" ca="1" si="1"/>
        <v>2</v>
      </c>
    </row>
    <row r="72" spans="1:4" x14ac:dyDescent="0.25">
      <c r="A72">
        <v>16151466</v>
      </c>
      <c r="B72" s="2" t="s">
        <v>85</v>
      </c>
      <c r="C72" s="1">
        <f t="shared" ca="1" si="2"/>
        <v>44664</v>
      </c>
      <c r="D72">
        <f t="shared" ca="1" si="1"/>
        <v>3</v>
      </c>
    </row>
    <row r="73" spans="1:4" x14ac:dyDescent="0.25">
      <c r="A73">
        <v>17150342</v>
      </c>
      <c r="B73" s="2" t="s">
        <v>85</v>
      </c>
      <c r="C73" s="1">
        <f t="shared" ca="1" si="2"/>
        <v>44278</v>
      </c>
      <c r="D73">
        <f t="shared" ca="1" si="1"/>
        <v>4</v>
      </c>
    </row>
    <row r="74" spans="1:4" x14ac:dyDescent="0.25">
      <c r="A74">
        <v>17150049</v>
      </c>
      <c r="B74" s="2" t="s">
        <v>85</v>
      </c>
      <c r="C74" s="1">
        <f t="shared" ca="1" si="2"/>
        <v>44472</v>
      </c>
      <c r="D74">
        <f t="shared" ca="1" si="1"/>
        <v>2</v>
      </c>
    </row>
    <row r="75" spans="1:4" x14ac:dyDescent="0.25">
      <c r="A75">
        <v>15151183</v>
      </c>
      <c r="B75" s="2" t="s">
        <v>85</v>
      </c>
      <c r="C75" s="1">
        <f t="shared" ca="1" si="2"/>
        <v>44284</v>
      </c>
      <c r="D75">
        <f t="shared" ca="1" si="1"/>
        <v>2</v>
      </c>
    </row>
    <row r="76" spans="1:4" x14ac:dyDescent="0.25">
      <c r="A76">
        <v>16151649</v>
      </c>
      <c r="B76" s="2" t="s">
        <v>85</v>
      </c>
      <c r="C76" s="1">
        <f t="shared" ca="1" si="2"/>
        <v>44522</v>
      </c>
      <c r="D76">
        <f t="shared" ca="1" si="1"/>
        <v>4</v>
      </c>
    </row>
    <row r="77" spans="1:4" x14ac:dyDescent="0.25">
      <c r="A77">
        <v>17150163</v>
      </c>
      <c r="B77" s="2" t="s">
        <v>85</v>
      </c>
      <c r="C77" s="1">
        <f t="shared" ca="1" si="2"/>
        <v>44862</v>
      </c>
      <c r="D77">
        <f t="shared" ca="1" si="1"/>
        <v>0</v>
      </c>
    </row>
    <row r="78" spans="1:4" x14ac:dyDescent="0.25">
      <c r="A78">
        <v>17150052</v>
      </c>
      <c r="B78" s="2" t="s">
        <v>85</v>
      </c>
      <c r="C78" s="1">
        <f t="shared" ca="1" si="2"/>
        <v>44742</v>
      </c>
      <c r="D78">
        <f t="shared" ca="1" si="1"/>
        <v>2</v>
      </c>
    </row>
    <row r="79" spans="1:4" x14ac:dyDescent="0.25">
      <c r="A79">
        <v>18150208</v>
      </c>
      <c r="B79" s="2" t="s">
        <v>85</v>
      </c>
      <c r="C79" s="1">
        <f t="shared" ca="1" si="2"/>
        <v>44907</v>
      </c>
      <c r="D79">
        <f t="shared" ca="1" si="1"/>
        <v>4</v>
      </c>
    </row>
    <row r="80" spans="1:4" x14ac:dyDescent="0.25">
      <c r="A80">
        <v>16150190</v>
      </c>
      <c r="B80" s="2" t="s">
        <v>85</v>
      </c>
      <c r="C80" s="1">
        <f t="shared" ca="1" si="2"/>
        <v>44201</v>
      </c>
      <c r="D80">
        <f t="shared" ca="1" si="1"/>
        <v>2</v>
      </c>
    </row>
    <row r="81" spans="1:4" x14ac:dyDescent="0.25">
      <c r="A81">
        <v>17150504</v>
      </c>
      <c r="B81" s="2" t="s">
        <v>85</v>
      </c>
      <c r="C81" s="1">
        <f t="shared" ca="1" si="2"/>
        <v>45121</v>
      </c>
      <c r="D81">
        <f t="shared" ca="1" si="1"/>
        <v>4</v>
      </c>
    </row>
    <row r="82" spans="1:4" x14ac:dyDescent="0.25">
      <c r="A82">
        <v>16150345</v>
      </c>
      <c r="B82" s="2" t="s">
        <v>85</v>
      </c>
      <c r="C82" s="1">
        <f t="shared" ca="1" si="2"/>
        <v>44236</v>
      </c>
      <c r="D82">
        <f t="shared" ca="1" si="1"/>
        <v>4</v>
      </c>
    </row>
    <row r="83" spans="1:4" x14ac:dyDescent="0.25">
      <c r="A83">
        <v>18150211</v>
      </c>
      <c r="B83" s="2" t="s">
        <v>85</v>
      </c>
      <c r="C83" s="1">
        <f t="shared" ca="1" si="2"/>
        <v>45228</v>
      </c>
      <c r="D83">
        <f t="shared" ca="1" si="1"/>
        <v>1</v>
      </c>
    </row>
    <row r="84" spans="1:4" x14ac:dyDescent="0.25">
      <c r="A84">
        <v>18150212</v>
      </c>
      <c r="B84" s="2" t="s">
        <v>85</v>
      </c>
      <c r="C84" s="1">
        <f t="shared" ca="1" si="2"/>
        <v>44782</v>
      </c>
      <c r="D84">
        <f t="shared" ca="1" si="1"/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D2" sqref="D2"/>
    </sheetView>
  </sheetViews>
  <sheetFormatPr defaultRowHeight="15" x14ac:dyDescent="0.25"/>
  <cols>
    <col min="1" max="1" width="28.5703125" customWidth="1"/>
    <col min="2" max="2" width="21.28515625" customWidth="1"/>
    <col min="3" max="3" width="17.85546875" customWidth="1"/>
    <col min="4" max="4" width="16.85546875" customWidth="1"/>
  </cols>
  <sheetData>
    <row r="1" spans="1:4" x14ac:dyDescent="0.25">
      <c r="A1" t="s">
        <v>24</v>
      </c>
      <c r="B1" t="s">
        <v>25</v>
      </c>
      <c r="C1" t="s">
        <v>26</v>
      </c>
      <c r="D1" t="s">
        <v>20</v>
      </c>
    </row>
    <row r="2" spans="1:4" x14ac:dyDescent="0.25">
      <c r="A2">
        <v>7878</v>
      </c>
      <c r="B2" t="s">
        <v>86</v>
      </c>
      <c r="D2">
        <v>17150023</v>
      </c>
    </row>
    <row r="3" spans="1:4" x14ac:dyDescent="0.25">
      <c r="A3">
        <v>7879</v>
      </c>
      <c r="B3" t="s">
        <v>90</v>
      </c>
      <c r="D3">
        <v>16150020</v>
      </c>
    </row>
    <row r="4" spans="1:4" x14ac:dyDescent="0.25">
      <c r="A4">
        <v>7890</v>
      </c>
      <c r="B4" t="s">
        <v>87</v>
      </c>
      <c r="D4">
        <v>18150465</v>
      </c>
    </row>
    <row r="5" spans="1:4" x14ac:dyDescent="0.25">
      <c r="A5">
        <v>7891</v>
      </c>
      <c r="B5" t="s">
        <v>88</v>
      </c>
      <c r="D5">
        <v>18150673</v>
      </c>
    </row>
    <row r="6" spans="1:4" x14ac:dyDescent="0.25">
      <c r="A6">
        <v>7892</v>
      </c>
      <c r="B6" t="s">
        <v>89</v>
      </c>
      <c r="D6">
        <v>15150511</v>
      </c>
    </row>
    <row r="7" spans="1:4" x14ac:dyDescent="0.25">
      <c r="A7">
        <v>7893</v>
      </c>
      <c r="B7" t="s">
        <v>86</v>
      </c>
      <c r="D7">
        <v>16150190</v>
      </c>
    </row>
    <row r="8" spans="1:4" x14ac:dyDescent="0.25">
      <c r="A8">
        <v>7894</v>
      </c>
      <c r="B8" t="s">
        <v>367</v>
      </c>
      <c r="D8">
        <v>18150198</v>
      </c>
    </row>
    <row r="9" spans="1:4" x14ac:dyDescent="0.25">
      <c r="A9">
        <v>7895</v>
      </c>
      <c r="B9" t="s">
        <v>367</v>
      </c>
      <c r="D9">
        <v>18150246</v>
      </c>
    </row>
    <row r="10" spans="1:4" x14ac:dyDescent="0.25">
      <c r="A10">
        <v>7896</v>
      </c>
      <c r="B10" t="s">
        <v>90</v>
      </c>
      <c r="D10">
        <v>15151183</v>
      </c>
    </row>
    <row r="11" spans="1:4" x14ac:dyDescent="0.25">
      <c r="A11">
        <v>7897</v>
      </c>
      <c r="B11" t="s">
        <v>90</v>
      </c>
      <c r="D11">
        <v>18150179</v>
      </c>
    </row>
    <row r="12" spans="1:4" x14ac:dyDescent="0.25">
      <c r="A12">
        <v>7898</v>
      </c>
      <c r="B12" t="s">
        <v>90</v>
      </c>
      <c r="D12">
        <v>15150015</v>
      </c>
    </row>
    <row r="13" spans="1:4" x14ac:dyDescent="0.25">
      <c r="A13">
        <v>7899</v>
      </c>
      <c r="B13" t="s">
        <v>90</v>
      </c>
      <c r="D13">
        <v>18150234</v>
      </c>
    </row>
    <row r="14" spans="1:4" x14ac:dyDescent="0.25">
      <c r="A14">
        <v>7900</v>
      </c>
      <c r="B14" t="s">
        <v>90</v>
      </c>
      <c r="D14">
        <v>17150132</v>
      </c>
    </row>
    <row r="15" spans="1:4" x14ac:dyDescent="0.25">
      <c r="A15">
        <v>7901</v>
      </c>
      <c r="B15" t="s">
        <v>90</v>
      </c>
      <c r="D15">
        <v>18150142</v>
      </c>
    </row>
    <row r="16" spans="1:4" x14ac:dyDescent="0.25">
      <c r="A16">
        <v>7902</v>
      </c>
      <c r="B16" t="s">
        <v>368</v>
      </c>
      <c r="D16">
        <v>17150123</v>
      </c>
    </row>
    <row r="17" spans="1:4" x14ac:dyDescent="0.25">
      <c r="A17">
        <v>7903</v>
      </c>
      <c r="B17" t="s">
        <v>86</v>
      </c>
      <c r="D17">
        <v>18150246</v>
      </c>
    </row>
    <row r="18" spans="1:4" x14ac:dyDescent="0.25">
      <c r="A18">
        <v>7904</v>
      </c>
      <c r="B18" t="s">
        <v>86</v>
      </c>
      <c r="D18">
        <v>18150248</v>
      </c>
    </row>
    <row r="19" spans="1:4" x14ac:dyDescent="0.25">
      <c r="A19">
        <v>7905</v>
      </c>
      <c r="B19" t="s">
        <v>90</v>
      </c>
      <c r="D19">
        <v>16150100</v>
      </c>
    </row>
    <row r="20" spans="1:4" x14ac:dyDescent="0.25">
      <c r="A20">
        <v>7906</v>
      </c>
      <c r="B20" t="s">
        <v>90</v>
      </c>
      <c r="D20">
        <v>17150085</v>
      </c>
    </row>
    <row r="21" spans="1:4" x14ac:dyDescent="0.25">
      <c r="A21">
        <v>7907</v>
      </c>
      <c r="B21" t="s">
        <v>90</v>
      </c>
      <c r="D21">
        <v>16151466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5"/>
  <sheetViews>
    <sheetView workbookViewId="0">
      <selection activeCell="G2" sqref="G2:G85"/>
    </sheetView>
  </sheetViews>
  <sheetFormatPr defaultRowHeight="15" x14ac:dyDescent="0.25"/>
  <cols>
    <col min="1" max="1" width="19" customWidth="1"/>
    <col min="2" max="2" width="19.140625" customWidth="1"/>
    <col min="3" max="3" width="16.28515625" customWidth="1"/>
    <col min="4" max="4" width="14.42578125" style="1" customWidth="1"/>
    <col min="5" max="5" width="14.7109375" customWidth="1"/>
    <col min="6" max="6" width="12.85546875" customWidth="1"/>
    <col min="7" max="7" width="12.5703125" customWidth="1"/>
  </cols>
  <sheetData>
    <row r="1" spans="1:7" x14ac:dyDescent="0.25">
      <c r="A1" t="s">
        <v>27</v>
      </c>
      <c r="B1" t="s">
        <v>28</v>
      </c>
      <c r="C1" t="s">
        <v>29</v>
      </c>
      <c r="D1" s="1" t="s">
        <v>30</v>
      </c>
      <c r="E1" t="s">
        <v>3</v>
      </c>
      <c r="F1" t="s">
        <v>2</v>
      </c>
      <c r="G1" t="s">
        <v>20</v>
      </c>
    </row>
    <row r="2" spans="1:7" x14ac:dyDescent="0.25">
      <c r="A2">
        <v>1111110</v>
      </c>
      <c r="B2" t="s">
        <v>91</v>
      </c>
      <c r="C2" t="s">
        <v>92</v>
      </c>
      <c r="D2" s="1">
        <v>36263</v>
      </c>
      <c r="E2" t="s">
        <v>93</v>
      </c>
      <c r="F2">
        <v>367069763</v>
      </c>
      <c r="G2">
        <v>17150001</v>
      </c>
    </row>
    <row r="3" spans="1:7" x14ac:dyDescent="0.25">
      <c r="A3">
        <v>1111111</v>
      </c>
      <c r="B3" t="s">
        <v>94</v>
      </c>
      <c r="C3" t="s">
        <v>92</v>
      </c>
      <c r="D3" s="1">
        <v>36356</v>
      </c>
      <c r="E3" t="s">
        <v>95</v>
      </c>
      <c r="F3">
        <v>364974368</v>
      </c>
      <c r="G3">
        <v>17150002</v>
      </c>
    </row>
    <row r="4" spans="1:7" x14ac:dyDescent="0.25">
      <c r="A4">
        <v>1111112</v>
      </c>
      <c r="B4" t="s">
        <v>96</v>
      </c>
      <c r="C4" t="s">
        <v>92</v>
      </c>
      <c r="D4" s="1">
        <v>36258</v>
      </c>
      <c r="E4" t="s">
        <v>97</v>
      </c>
      <c r="F4">
        <v>966166821</v>
      </c>
      <c r="G4">
        <v>17150003</v>
      </c>
    </row>
    <row r="5" spans="1:7" x14ac:dyDescent="0.25">
      <c r="A5">
        <v>1111113</v>
      </c>
      <c r="B5" t="s">
        <v>98</v>
      </c>
      <c r="C5" t="s">
        <v>92</v>
      </c>
      <c r="D5" s="1">
        <v>36186</v>
      </c>
      <c r="E5" t="s">
        <v>93</v>
      </c>
      <c r="F5">
        <v>971889405</v>
      </c>
      <c r="G5">
        <v>17150004</v>
      </c>
    </row>
    <row r="6" spans="1:7" x14ac:dyDescent="0.25">
      <c r="A6">
        <v>1111114</v>
      </c>
      <c r="B6" t="s">
        <v>99</v>
      </c>
      <c r="C6" t="s">
        <v>92</v>
      </c>
      <c r="D6" s="1">
        <v>36350</v>
      </c>
      <c r="E6" t="s">
        <v>93</v>
      </c>
      <c r="F6">
        <v>397114855</v>
      </c>
      <c r="G6">
        <v>17150005</v>
      </c>
    </row>
    <row r="7" spans="1:7" x14ac:dyDescent="0.25">
      <c r="A7">
        <v>1111115</v>
      </c>
      <c r="B7" t="s">
        <v>229</v>
      </c>
      <c r="C7" t="s">
        <v>308</v>
      </c>
      <c r="D7" s="1">
        <v>36859</v>
      </c>
      <c r="E7" t="s">
        <v>330</v>
      </c>
      <c r="F7">
        <v>957525471</v>
      </c>
      <c r="G7">
        <v>18150230</v>
      </c>
    </row>
    <row r="8" spans="1:7" x14ac:dyDescent="0.25">
      <c r="A8">
        <v>1111116</v>
      </c>
      <c r="B8" t="s">
        <v>230</v>
      </c>
      <c r="C8" t="s">
        <v>309</v>
      </c>
      <c r="D8" s="1">
        <v>36647</v>
      </c>
      <c r="E8" t="s">
        <v>331</v>
      </c>
      <c r="F8">
        <v>1517936087</v>
      </c>
      <c r="G8">
        <v>18150169</v>
      </c>
    </row>
    <row r="9" spans="1:7" x14ac:dyDescent="0.25">
      <c r="A9">
        <v>1111117</v>
      </c>
      <c r="B9" t="s">
        <v>231</v>
      </c>
      <c r="C9" t="s">
        <v>310</v>
      </c>
      <c r="D9" s="1">
        <v>36841</v>
      </c>
      <c r="E9" t="s">
        <v>332</v>
      </c>
      <c r="F9">
        <v>905243600</v>
      </c>
      <c r="G9">
        <v>18150232</v>
      </c>
    </row>
    <row r="10" spans="1:7" x14ac:dyDescent="0.25">
      <c r="A10">
        <v>1111118</v>
      </c>
      <c r="B10" t="s">
        <v>232</v>
      </c>
      <c r="C10" t="s">
        <v>309</v>
      </c>
      <c r="D10" s="1">
        <v>36811</v>
      </c>
      <c r="E10" t="s">
        <v>333</v>
      </c>
      <c r="F10">
        <v>979012411</v>
      </c>
      <c r="G10">
        <v>18150172</v>
      </c>
    </row>
    <row r="11" spans="1:7" x14ac:dyDescent="0.25">
      <c r="A11">
        <v>1111119</v>
      </c>
      <c r="B11" t="s">
        <v>233</v>
      </c>
      <c r="C11" t="s">
        <v>309</v>
      </c>
      <c r="D11" s="1">
        <v>36781</v>
      </c>
      <c r="E11" t="s">
        <v>334</v>
      </c>
      <c r="F11">
        <v>989950469</v>
      </c>
      <c r="G11">
        <v>18150173</v>
      </c>
    </row>
    <row r="12" spans="1:7" x14ac:dyDescent="0.25">
      <c r="A12">
        <v>1111120</v>
      </c>
      <c r="B12" t="s">
        <v>234</v>
      </c>
      <c r="C12" t="s">
        <v>309</v>
      </c>
      <c r="D12" s="1">
        <v>36789</v>
      </c>
      <c r="E12" t="s">
        <v>335</v>
      </c>
      <c r="F12">
        <v>989970469</v>
      </c>
      <c r="G12">
        <v>18150174</v>
      </c>
    </row>
    <row r="13" spans="1:7" x14ac:dyDescent="0.25">
      <c r="A13">
        <v>1111121</v>
      </c>
      <c r="B13" t="s">
        <v>235</v>
      </c>
      <c r="C13" t="s">
        <v>308</v>
      </c>
      <c r="D13" s="1">
        <v>36843</v>
      </c>
      <c r="E13" t="s">
        <v>336</v>
      </c>
      <c r="G13">
        <v>18150233</v>
      </c>
    </row>
    <row r="14" spans="1:7" x14ac:dyDescent="0.25">
      <c r="A14">
        <v>1111122</v>
      </c>
      <c r="B14" t="s">
        <v>236</v>
      </c>
      <c r="C14" t="s">
        <v>309</v>
      </c>
      <c r="D14" s="1">
        <v>36777</v>
      </c>
      <c r="E14" t="s">
        <v>337</v>
      </c>
      <c r="G14">
        <v>18150171</v>
      </c>
    </row>
    <row r="15" spans="1:7" x14ac:dyDescent="0.25">
      <c r="A15">
        <v>1111123</v>
      </c>
      <c r="B15" t="s">
        <v>237</v>
      </c>
      <c r="C15" t="s">
        <v>310</v>
      </c>
      <c r="D15" s="1">
        <v>36830</v>
      </c>
      <c r="E15" t="s">
        <v>338</v>
      </c>
      <c r="G15">
        <v>18150234</v>
      </c>
    </row>
    <row r="16" spans="1:7" x14ac:dyDescent="0.25">
      <c r="A16">
        <v>1111124</v>
      </c>
      <c r="B16" t="s">
        <v>238</v>
      </c>
      <c r="C16" t="s">
        <v>308</v>
      </c>
      <c r="D16" s="1">
        <v>36613</v>
      </c>
      <c r="E16" t="s">
        <v>339</v>
      </c>
      <c r="F16">
        <v>972755453</v>
      </c>
      <c r="G16">
        <v>18150238</v>
      </c>
    </row>
    <row r="17" spans="1:7" x14ac:dyDescent="0.25">
      <c r="A17">
        <v>1111125</v>
      </c>
      <c r="B17" t="s">
        <v>239</v>
      </c>
      <c r="C17" t="s">
        <v>92</v>
      </c>
      <c r="D17" s="1">
        <v>36258</v>
      </c>
      <c r="E17" t="s">
        <v>340</v>
      </c>
      <c r="G17">
        <v>17150003</v>
      </c>
    </row>
    <row r="18" spans="1:7" x14ac:dyDescent="0.25">
      <c r="A18">
        <v>1111126</v>
      </c>
      <c r="B18" t="s">
        <v>240</v>
      </c>
      <c r="C18" t="s">
        <v>311</v>
      </c>
      <c r="D18" s="1">
        <v>36233</v>
      </c>
      <c r="E18" t="s">
        <v>341</v>
      </c>
      <c r="F18">
        <v>983853567</v>
      </c>
      <c r="G18">
        <v>17150085</v>
      </c>
    </row>
    <row r="19" spans="1:7" x14ac:dyDescent="0.25">
      <c r="A19">
        <v>1111127</v>
      </c>
      <c r="B19" t="s">
        <v>241</v>
      </c>
      <c r="C19" t="s">
        <v>309</v>
      </c>
      <c r="D19" s="1">
        <v>36478</v>
      </c>
      <c r="E19" t="s">
        <v>342</v>
      </c>
      <c r="F19">
        <v>915361779</v>
      </c>
      <c r="G19">
        <v>18150175</v>
      </c>
    </row>
    <row r="20" spans="1:7" x14ac:dyDescent="0.25">
      <c r="A20">
        <v>1111128</v>
      </c>
      <c r="B20" t="s">
        <v>242</v>
      </c>
      <c r="C20" t="s">
        <v>312</v>
      </c>
      <c r="D20" s="1">
        <v>36014</v>
      </c>
      <c r="E20" t="s">
        <v>343</v>
      </c>
      <c r="G20">
        <v>16150084</v>
      </c>
    </row>
    <row r="21" spans="1:7" x14ac:dyDescent="0.25">
      <c r="A21">
        <v>1111129</v>
      </c>
      <c r="B21" t="s">
        <v>243</v>
      </c>
      <c r="C21" t="s">
        <v>309</v>
      </c>
      <c r="D21" s="1">
        <v>36739</v>
      </c>
      <c r="E21" t="s">
        <v>95</v>
      </c>
      <c r="G21">
        <v>18150179</v>
      </c>
    </row>
    <row r="22" spans="1:7" x14ac:dyDescent="0.25">
      <c r="A22">
        <v>1111130</v>
      </c>
      <c r="B22" t="s">
        <v>244</v>
      </c>
      <c r="C22" t="s">
        <v>313</v>
      </c>
      <c r="D22" s="1">
        <v>35870</v>
      </c>
      <c r="E22" t="s">
        <v>344</v>
      </c>
      <c r="G22">
        <v>16150229</v>
      </c>
    </row>
    <row r="23" spans="1:7" x14ac:dyDescent="0.25">
      <c r="A23">
        <v>1111131</v>
      </c>
      <c r="B23" t="s">
        <v>245</v>
      </c>
      <c r="C23" t="s">
        <v>314</v>
      </c>
      <c r="D23" s="1">
        <v>35590</v>
      </c>
      <c r="E23" t="s">
        <v>345</v>
      </c>
      <c r="G23">
        <v>15150015</v>
      </c>
    </row>
    <row r="24" spans="1:7" x14ac:dyDescent="0.25">
      <c r="A24">
        <v>1111132</v>
      </c>
      <c r="B24" t="s">
        <v>246</v>
      </c>
      <c r="C24" t="s">
        <v>315</v>
      </c>
      <c r="D24" s="1">
        <v>36716</v>
      </c>
      <c r="E24" t="s">
        <v>346</v>
      </c>
      <c r="F24">
        <v>905629639</v>
      </c>
      <c r="G24">
        <v>18150123</v>
      </c>
    </row>
    <row r="25" spans="1:7" x14ac:dyDescent="0.25">
      <c r="A25">
        <v>1111133</v>
      </c>
      <c r="B25" t="s">
        <v>247</v>
      </c>
      <c r="C25" t="s">
        <v>309</v>
      </c>
      <c r="D25" s="1">
        <v>36803</v>
      </c>
      <c r="E25" t="s">
        <v>347</v>
      </c>
      <c r="G25">
        <v>18150187</v>
      </c>
    </row>
    <row r="26" spans="1:7" x14ac:dyDescent="0.25">
      <c r="A26">
        <v>1111134</v>
      </c>
      <c r="B26" t="s">
        <v>248</v>
      </c>
      <c r="C26" t="s">
        <v>309</v>
      </c>
      <c r="D26" s="1">
        <v>36865</v>
      </c>
      <c r="E26" t="s">
        <v>335</v>
      </c>
      <c r="F26">
        <v>977103776</v>
      </c>
      <c r="G26">
        <v>18150188</v>
      </c>
    </row>
    <row r="27" spans="1:7" x14ac:dyDescent="0.25">
      <c r="A27">
        <v>1111135</v>
      </c>
      <c r="B27" t="s">
        <v>249</v>
      </c>
      <c r="C27" t="s">
        <v>309</v>
      </c>
      <c r="D27" s="1">
        <v>36706</v>
      </c>
      <c r="E27" t="s">
        <v>348</v>
      </c>
      <c r="F27">
        <v>979024505</v>
      </c>
      <c r="G27">
        <v>18150185</v>
      </c>
    </row>
    <row r="28" spans="1:7" x14ac:dyDescent="0.25">
      <c r="A28">
        <v>1111136</v>
      </c>
      <c r="B28" t="s">
        <v>250</v>
      </c>
      <c r="C28" t="s">
        <v>311</v>
      </c>
      <c r="D28" s="1">
        <v>36487</v>
      </c>
      <c r="E28" t="s">
        <v>349</v>
      </c>
      <c r="G28">
        <v>17151004</v>
      </c>
    </row>
    <row r="29" spans="1:7" x14ac:dyDescent="0.25">
      <c r="A29">
        <v>1111137</v>
      </c>
      <c r="B29" t="s">
        <v>251</v>
      </c>
      <c r="C29" t="s">
        <v>308</v>
      </c>
      <c r="D29" s="1">
        <v>36584</v>
      </c>
      <c r="E29" t="s">
        <v>350</v>
      </c>
      <c r="F29">
        <v>905484808</v>
      </c>
      <c r="G29">
        <v>18150248</v>
      </c>
    </row>
    <row r="30" spans="1:7" x14ac:dyDescent="0.25">
      <c r="A30">
        <v>1111138</v>
      </c>
      <c r="B30" t="s">
        <v>252</v>
      </c>
      <c r="C30" t="s">
        <v>310</v>
      </c>
      <c r="D30" s="1">
        <v>36720</v>
      </c>
      <c r="E30" t="s">
        <v>332</v>
      </c>
      <c r="F30">
        <v>905484808</v>
      </c>
      <c r="G30">
        <v>18150249</v>
      </c>
    </row>
    <row r="31" spans="1:7" x14ac:dyDescent="0.25">
      <c r="A31">
        <v>1111139</v>
      </c>
      <c r="B31" t="s">
        <v>253</v>
      </c>
      <c r="C31" t="s">
        <v>309</v>
      </c>
      <c r="D31" s="1">
        <v>36662</v>
      </c>
      <c r="E31" t="s">
        <v>339</v>
      </c>
      <c r="F31">
        <v>984864072</v>
      </c>
      <c r="G31">
        <v>18150181</v>
      </c>
    </row>
    <row r="32" spans="1:7" x14ac:dyDescent="0.25">
      <c r="A32">
        <v>1111140</v>
      </c>
      <c r="B32" t="s">
        <v>254</v>
      </c>
      <c r="C32" t="s">
        <v>92</v>
      </c>
      <c r="D32" s="1">
        <v>36247</v>
      </c>
      <c r="E32" t="s">
        <v>330</v>
      </c>
      <c r="G32">
        <v>17150008</v>
      </c>
    </row>
    <row r="33" spans="1:7" x14ac:dyDescent="0.25">
      <c r="A33">
        <v>1111141</v>
      </c>
      <c r="B33" t="s">
        <v>255</v>
      </c>
      <c r="C33" t="s">
        <v>316</v>
      </c>
      <c r="D33" s="1">
        <v>36203</v>
      </c>
      <c r="E33" t="s">
        <v>341</v>
      </c>
      <c r="F33">
        <v>1685349007</v>
      </c>
      <c r="G33">
        <v>17150424</v>
      </c>
    </row>
    <row r="34" spans="1:7" x14ac:dyDescent="0.25">
      <c r="A34">
        <v>1111142</v>
      </c>
      <c r="B34" t="s">
        <v>256</v>
      </c>
      <c r="C34" t="s">
        <v>92</v>
      </c>
      <c r="D34" s="1">
        <v>36468</v>
      </c>
      <c r="E34" t="s">
        <v>351</v>
      </c>
      <c r="G34">
        <v>17150010</v>
      </c>
    </row>
    <row r="35" spans="1:7" x14ac:dyDescent="0.25">
      <c r="A35">
        <v>1111143</v>
      </c>
      <c r="B35" t="s">
        <v>257</v>
      </c>
      <c r="C35" t="s">
        <v>309</v>
      </c>
      <c r="D35" s="1">
        <v>36556</v>
      </c>
      <c r="E35" t="s">
        <v>352</v>
      </c>
      <c r="F35">
        <v>1234377007</v>
      </c>
      <c r="G35">
        <v>18150183</v>
      </c>
    </row>
    <row r="36" spans="1:7" x14ac:dyDescent="0.25">
      <c r="A36">
        <v>1111144</v>
      </c>
      <c r="B36" t="s">
        <v>258</v>
      </c>
      <c r="C36" t="s">
        <v>308</v>
      </c>
      <c r="D36" s="1">
        <v>36612</v>
      </c>
      <c r="E36" t="s">
        <v>353</v>
      </c>
      <c r="G36">
        <v>18150246</v>
      </c>
    </row>
    <row r="37" spans="1:7" x14ac:dyDescent="0.25">
      <c r="A37">
        <v>1111145</v>
      </c>
      <c r="B37" t="s">
        <v>259</v>
      </c>
      <c r="C37" t="s">
        <v>309</v>
      </c>
      <c r="D37" s="1">
        <v>36851</v>
      </c>
      <c r="E37" t="s">
        <v>337</v>
      </c>
      <c r="F37">
        <v>905669673</v>
      </c>
      <c r="G37">
        <v>18150189</v>
      </c>
    </row>
    <row r="38" spans="1:7" x14ac:dyDescent="0.25">
      <c r="A38">
        <v>1111146</v>
      </c>
      <c r="B38" t="s">
        <v>260</v>
      </c>
      <c r="C38" t="s">
        <v>92</v>
      </c>
      <c r="D38" s="1">
        <v>36198</v>
      </c>
      <c r="E38" t="s">
        <v>93</v>
      </c>
      <c r="F38">
        <v>979793396</v>
      </c>
      <c r="G38">
        <v>17150020</v>
      </c>
    </row>
    <row r="39" spans="1:7" x14ac:dyDescent="0.25">
      <c r="A39">
        <v>1111147</v>
      </c>
      <c r="B39" t="s">
        <v>261</v>
      </c>
      <c r="C39" t="s">
        <v>309</v>
      </c>
      <c r="D39" s="1">
        <v>36839</v>
      </c>
      <c r="E39" t="s">
        <v>93</v>
      </c>
      <c r="F39">
        <v>982005331</v>
      </c>
      <c r="G39">
        <v>18150190</v>
      </c>
    </row>
    <row r="40" spans="1:7" x14ac:dyDescent="0.25">
      <c r="A40">
        <v>1111148</v>
      </c>
      <c r="B40" t="s">
        <v>262</v>
      </c>
      <c r="C40" t="s">
        <v>312</v>
      </c>
      <c r="D40" s="1">
        <v>35850</v>
      </c>
      <c r="E40" t="s">
        <v>354</v>
      </c>
      <c r="F40">
        <v>915003445</v>
      </c>
      <c r="G40">
        <v>16150100</v>
      </c>
    </row>
    <row r="41" spans="1:7" x14ac:dyDescent="0.25">
      <c r="A41">
        <v>1111149</v>
      </c>
      <c r="B41" t="s">
        <v>263</v>
      </c>
      <c r="C41" t="s">
        <v>308</v>
      </c>
      <c r="D41" s="1">
        <v>36709</v>
      </c>
      <c r="E41" t="s">
        <v>355</v>
      </c>
      <c r="F41">
        <v>935228199</v>
      </c>
      <c r="G41">
        <v>18150255</v>
      </c>
    </row>
    <row r="42" spans="1:7" x14ac:dyDescent="0.25">
      <c r="A42">
        <v>1111150</v>
      </c>
      <c r="B42" t="s">
        <v>264</v>
      </c>
      <c r="C42" t="s">
        <v>310</v>
      </c>
      <c r="D42" s="1">
        <v>36651</v>
      </c>
      <c r="E42" t="s">
        <v>356</v>
      </c>
      <c r="G42">
        <v>18150256</v>
      </c>
    </row>
    <row r="43" spans="1:7" x14ac:dyDescent="0.25">
      <c r="A43">
        <v>1111151</v>
      </c>
      <c r="B43" t="s">
        <v>265</v>
      </c>
      <c r="C43" t="s">
        <v>308</v>
      </c>
      <c r="D43" s="1">
        <v>36831</v>
      </c>
      <c r="E43" t="s">
        <v>357</v>
      </c>
      <c r="G43">
        <v>18150257</v>
      </c>
    </row>
    <row r="44" spans="1:7" x14ac:dyDescent="0.25">
      <c r="A44">
        <v>1111152</v>
      </c>
      <c r="B44" t="s">
        <v>266</v>
      </c>
      <c r="C44" t="s">
        <v>317</v>
      </c>
      <c r="D44" s="1">
        <v>36484</v>
      </c>
      <c r="E44" t="s">
        <v>358</v>
      </c>
      <c r="G44">
        <v>17151003</v>
      </c>
    </row>
    <row r="45" spans="1:7" x14ac:dyDescent="0.25">
      <c r="A45">
        <v>1111153</v>
      </c>
      <c r="B45" t="s">
        <v>267</v>
      </c>
      <c r="C45" t="s">
        <v>311</v>
      </c>
      <c r="D45" s="1">
        <v>36162</v>
      </c>
      <c r="E45" t="s">
        <v>359</v>
      </c>
      <c r="G45">
        <v>17150111</v>
      </c>
    </row>
    <row r="46" spans="1:7" x14ac:dyDescent="0.25">
      <c r="A46">
        <v>1111154</v>
      </c>
      <c r="B46" t="s">
        <v>268</v>
      </c>
      <c r="C46" t="s">
        <v>92</v>
      </c>
      <c r="D46" s="1">
        <v>36467</v>
      </c>
      <c r="E46" t="s">
        <v>336</v>
      </c>
      <c r="F46" t="s">
        <v>327</v>
      </c>
      <c r="G46">
        <v>17150028</v>
      </c>
    </row>
    <row r="47" spans="1:7" x14ac:dyDescent="0.25">
      <c r="A47">
        <v>1111155</v>
      </c>
      <c r="B47" t="s">
        <v>269</v>
      </c>
      <c r="C47" t="s">
        <v>315</v>
      </c>
      <c r="D47" s="1">
        <v>36766</v>
      </c>
      <c r="E47" t="s">
        <v>344</v>
      </c>
      <c r="G47">
        <v>18150139</v>
      </c>
    </row>
    <row r="48" spans="1:7" x14ac:dyDescent="0.25">
      <c r="A48">
        <v>1111156</v>
      </c>
      <c r="B48" t="s">
        <v>270</v>
      </c>
      <c r="C48" t="s">
        <v>318</v>
      </c>
      <c r="D48" s="1">
        <v>35185</v>
      </c>
      <c r="E48" t="s">
        <v>335</v>
      </c>
      <c r="F48">
        <v>935056206</v>
      </c>
      <c r="G48">
        <v>14150503</v>
      </c>
    </row>
    <row r="49" spans="1:7" x14ac:dyDescent="0.25">
      <c r="A49">
        <v>1111157</v>
      </c>
      <c r="B49" t="s">
        <v>271</v>
      </c>
      <c r="C49" t="s">
        <v>319</v>
      </c>
      <c r="D49" s="1">
        <v>35511</v>
      </c>
      <c r="E49" t="s">
        <v>356</v>
      </c>
      <c r="F49">
        <v>933540599</v>
      </c>
      <c r="G49">
        <v>15151019</v>
      </c>
    </row>
    <row r="50" spans="1:7" x14ac:dyDescent="0.25">
      <c r="A50">
        <v>1111158</v>
      </c>
      <c r="B50" t="s">
        <v>272</v>
      </c>
      <c r="C50" t="s">
        <v>92</v>
      </c>
      <c r="D50" s="1">
        <v>36364</v>
      </c>
      <c r="E50" t="s">
        <v>359</v>
      </c>
      <c r="G50">
        <v>17150029</v>
      </c>
    </row>
    <row r="51" spans="1:7" x14ac:dyDescent="0.25">
      <c r="A51">
        <v>1111159</v>
      </c>
      <c r="B51" t="s">
        <v>273</v>
      </c>
      <c r="C51" t="s">
        <v>92</v>
      </c>
      <c r="D51" s="1">
        <v>36416</v>
      </c>
      <c r="E51" t="s">
        <v>360</v>
      </c>
      <c r="F51">
        <v>988201498</v>
      </c>
      <c r="G51">
        <v>17150031</v>
      </c>
    </row>
    <row r="52" spans="1:7" x14ac:dyDescent="0.25">
      <c r="A52">
        <v>1111160</v>
      </c>
      <c r="B52" t="s">
        <v>274</v>
      </c>
      <c r="C52" t="s">
        <v>309</v>
      </c>
      <c r="D52" s="1">
        <v>36771</v>
      </c>
      <c r="E52" t="s">
        <v>361</v>
      </c>
      <c r="F52">
        <v>935454511</v>
      </c>
      <c r="G52">
        <v>18150193</v>
      </c>
    </row>
    <row r="53" spans="1:7" x14ac:dyDescent="0.25">
      <c r="A53">
        <v>1111161</v>
      </c>
      <c r="B53" t="s">
        <v>275</v>
      </c>
      <c r="C53" t="s">
        <v>308</v>
      </c>
      <c r="D53" s="1">
        <v>36690</v>
      </c>
      <c r="E53" t="s">
        <v>331</v>
      </c>
      <c r="F53">
        <v>946186886</v>
      </c>
      <c r="G53">
        <v>18150266</v>
      </c>
    </row>
    <row r="54" spans="1:7" x14ac:dyDescent="0.25">
      <c r="A54">
        <v>1111162</v>
      </c>
      <c r="B54" t="s">
        <v>276</v>
      </c>
      <c r="C54" t="s">
        <v>329</v>
      </c>
      <c r="D54" s="1">
        <v>35506</v>
      </c>
      <c r="E54" t="s">
        <v>335</v>
      </c>
      <c r="F54" t="s">
        <v>328</v>
      </c>
      <c r="G54">
        <v>15150830</v>
      </c>
    </row>
    <row r="55" spans="1:7" x14ac:dyDescent="0.25">
      <c r="A55">
        <v>1111163</v>
      </c>
      <c r="B55" t="s">
        <v>277</v>
      </c>
      <c r="C55" t="s">
        <v>314</v>
      </c>
      <c r="D55" s="1">
        <v>35456</v>
      </c>
      <c r="E55" t="s">
        <v>341</v>
      </c>
      <c r="F55">
        <v>915301065</v>
      </c>
      <c r="G55">
        <v>15150004</v>
      </c>
    </row>
    <row r="56" spans="1:7" x14ac:dyDescent="0.25">
      <c r="A56">
        <v>1111164</v>
      </c>
      <c r="B56" t="s">
        <v>278</v>
      </c>
      <c r="C56" t="s">
        <v>311</v>
      </c>
      <c r="D56" s="1">
        <v>36392</v>
      </c>
      <c r="E56" t="s">
        <v>335</v>
      </c>
      <c r="F56">
        <v>983799417</v>
      </c>
      <c r="G56">
        <v>17150123</v>
      </c>
    </row>
    <row r="57" spans="1:7" x14ac:dyDescent="0.25">
      <c r="A57">
        <v>1111165</v>
      </c>
      <c r="B57" t="s">
        <v>279</v>
      </c>
      <c r="C57" t="s">
        <v>320</v>
      </c>
      <c r="D57" s="1">
        <v>35810</v>
      </c>
      <c r="E57" t="s">
        <v>362</v>
      </c>
      <c r="F57">
        <v>1224207990</v>
      </c>
      <c r="G57">
        <v>16151459</v>
      </c>
    </row>
    <row r="58" spans="1:7" x14ac:dyDescent="0.25">
      <c r="A58">
        <v>1111166</v>
      </c>
      <c r="B58" t="s">
        <v>280</v>
      </c>
      <c r="C58" t="s">
        <v>315</v>
      </c>
      <c r="D58" s="1">
        <v>36563</v>
      </c>
      <c r="E58" t="s">
        <v>353</v>
      </c>
      <c r="F58">
        <v>1666461274</v>
      </c>
      <c r="G58">
        <v>18150142</v>
      </c>
    </row>
    <row r="59" spans="1:7" x14ac:dyDescent="0.25">
      <c r="A59">
        <v>1111167</v>
      </c>
      <c r="B59" t="s">
        <v>281</v>
      </c>
      <c r="C59" t="s">
        <v>321</v>
      </c>
      <c r="D59" s="1">
        <v>36108</v>
      </c>
      <c r="E59" t="s">
        <v>363</v>
      </c>
      <c r="F59">
        <v>914033933</v>
      </c>
      <c r="G59">
        <v>16150330</v>
      </c>
    </row>
    <row r="60" spans="1:7" x14ac:dyDescent="0.25">
      <c r="A60">
        <v>1111168</v>
      </c>
      <c r="B60" t="s">
        <v>282</v>
      </c>
      <c r="C60" t="s">
        <v>309</v>
      </c>
      <c r="D60" s="1">
        <v>36544</v>
      </c>
      <c r="E60" t="s">
        <v>340</v>
      </c>
      <c r="F60">
        <v>919083637</v>
      </c>
      <c r="G60">
        <v>18150194</v>
      </c>
    </row>
    <row r="61" spans="1:7" x14ac:dyDescent="0.25">
      <c r="A61">
        <v>1111169</v>
      </c>
      <c r="B61" t="s">
        <v>283</v>
      </c>
      <c r="C61" t="s">
        <v>309</v>
      </c>
      <c r="D61" s="1">
        <v>36776</v>
      </c>
      <c r="E61" t="s">
        <v>364</v>
      </c>
      <c r="F61">
        <v>989638138</v>
      </c>
      <c r="G61">
        <v>18150196</v>
      </c>
    </row>
    <row r="62" spans="1:7" x14ac:dyDescent="0.25">
      <c r="A62">
        <v>1111170</v>
      </c>
      <c r="B62" t="s">
        <v>284</v>
      </c>
      <c r="C62" t="s">
        <v>317</v>
      </c>
      <c r="D62" s="1">
        <v>36342</v>
      </c>
      <c r="E62" t="s">
        <v>365</v>
      </c>
      <c r="F62">
        <v>979810948</v>
      </c>
      <c r="G62">
        <v>17150132</v>
      </c>
    </row>
    <row r="63" spans="1:7" x14ac:dyDescent="0.25">
      <c r="A63">
        <v>1111171</v>
      </c>
      <c r="B63" t="s">
        <v>285</v>
      </c>
      <c r="C63" t="s">
        <v>309</v>
      </c>
      <c r="D63" s="1">
        <v>36588</v>
      </c>
      <c r="E63" t="s">
        <v>361</v>
      </c>
      <c r="G63">
        <v>18150198</v>
      </c>
    </row>
    <row r="64" spans="1:7" x14ac:dyDescent="0.25">
      <c r="A64">
        <v>1111172</v>
      </c>
      <c r="B64" t="s">
        <v>286</v>
      </c>
      <c r="C64" t="s">
        <v>309</v>
      </c>
      <c r="D64" s="1">
        <v>36689</v>
      </c>
      <c r="E64" t="s">
        <v>330</v>
      </c>
      <c r="F64">
        <v>1686688723</v>
      </c>
      <c r="G64">
        <v>18150199</v>
      </c>
    </row>
    <row r="65" spans="1:7" x14ac:dyDescent="0.25">
      <c r="A65">
        <v>1111173</v>
      </c>
      <c r="B65" t="s">
        <v>287</v>
      </c>
      <c r="C65" t="s">
        <v>312</v>
      </c>
      <c r="D65" s="1">
        <v>35500</v>
      </c>
      <c r="E65" t="s">
        <v>366</v>
      </c>
      <c r="F65">
        <v>915050122</v>
      </c>
      <c r="G65">
        <v>16150116</v>
      </c>
    </row>
    <row r="66" spans="1:7" x14ac:dyDescent="0.25">
      <c r="A66">
        <v>1111174</v>
      </c>
      <c r="B66" t="s">
        <v>288</v>
      </c>
      <c r="C66" t="s">
        <v>309</v>
      </c>
      <c r="D66" s="1">
        <v>36773</v>
      </c>
      <c r="E66" t="s">
        <v>361</v>
      </c>
      <c r="F66">
        <v>914979516</v>
      </c>
      <c r="G66">
        <v>18150202</v>
      </c>
    </row>
    <row r="67" spans="1:7" x14ac:dyDescent="0.25">
      <c r="A67">
        <v>1111175</v>
      </c>
      <c r="B67" t="s">
        <v>289</v>
      </c>
      <c r="C67" t="s">
        <v>320</v>
      </c>
      <c r="D67" s="1">
        <v>35886</v>
      </c>
      <c r="E67" t="s">
        <v>346</v>
      </c>
      <c r="F67">
        <v>972624052</v>
      </c>
      <c r="G67">
        <v>16150180</v>
      </c>
    </row>
    <row r="68" spans="1:7" x14ac:dyDescent="0.25">
      <c r="A68">
        <v>1111176</v>
      </c>
      <c r="B68" t="s">
        <v>290</v>
      </c>
      <c r="C68" t="s">
        <v>322</v>
      </c>
      <c r="D68" s="1">
        <v>36007</v>
      </c>
      <c r="E68" t="s">
        <v>333</v>
      </c>
      <c r="F68">
        <v>983211135</v>
      </c>
      <c r="G68">
        <v>16150776</v>
      </c>
    </row>
    <row r="69" spans="1:7" x14ac:dyDescent="0.25">
      <c r="A69">
        <v>1111177</v>
      </c>
      <c r="B69" t="s">
        <v>291</v>
      </c>
      <c r="C69" t="s">
        <v>317</v>
      </c>
      <c r="D69" s="1">
        <v>36441</v>
      </c>
      <c r="E69" t="s">
        <v>361</v>
      </c>
      <c r="G69">
        <v>17150150</v>
      </c>
    </row>
    <row r="70" spans="1:7" x14ac:dyDescent="0.25">
      <c r="A70">
        <v>1111178</v>
      </c>
      <c r="B70" t="s">
        <v>292</v>
      </c>
      <c r="C70" t="s">
        <v>312</v>
      </c>
      <c r="D70" s="1">
        <v>35922</v>
      </c>
      <c r="E70" t="s">
        <v>330</v>
      </c>
      <c r="F70">
        <v>942113606</v>
      </c>
      <c r="G70">
        <v>16150120</v>
      </c>
    </row>
    <row r="71" spans="1:7" x14ac:dyDescent="0.25">
      <c r="A71">
        <v>1111179</v>
      </c>
      <c r="B71" t="s">
        <v>293</v>
      </c>
      <c r="C71" t="s">
        <v>323</v>
      </c>
      <c r="D71" s="1">
        <v>35724</v>
      </c>
      <c r="E71" t="s">
        <v>331</v>
      </c>
      <c r="G71">
        <v>15151042</v>
      </c>
    </row>
    <row r="72" spans="1:7" x14ac:dyDescent="0.25">
      <c r="A72">
        <v>1111180</v>
      </c>
      <c r="B72" t="s">
        <v>294</v>
      </c>
      <c r="C72" t="s">
        <v>309</v>
      </c>
      <c r="D72" s="1">
        <v>36805</v>
      </c>
      <c r="E72" t="s">
        <v>332</v>
      </c>
      <c r="F72">
        <v>917679396</v>
      </c>
      <c r="G72">
        <v>18150206</v>
      </c>
    </row>
    <row r="73" spans="1:7" x14ac:dyDescent="0.25">
      <c r="A73">
        <v>1111181</v>
      </c>
      <c r="B73" t="s">
        <v>295</v>
      </c>
      <c r="C73" t="s">
        <v>320</v>
      </c>
      <c r="D73" s="1">
        <v>35850</v>
      </c>
      <c r="E73" t="s">
        <v>333</v>
      </c>
      <c r="G73">
        <v>16151466</v>
      </c>
    </row>
    <row r="74" spans="1:7" x14ac:dyDescent="0.25">
      <c r="A74">
        <v>1111182</v>
      </c>
      <c r="B74" t="s">
        <v>296</v>
      </c>
      <c r="C74" t="s">
        <v>324</v>
      </c>
      <c r="D74" s="1">
        <v>36458</v>
      </c>
      <c r="E74" t="s">
        <v>334</v>
      </c>
      <c r="F74">
        <v>905257433</v>
      </c>
      <c r="G74">
        <v>17150342</v>
      </c>
    </row>
    <row r="75" spans="1:7" x14ac:dyDescent="0.25">
      <c r="A75">
        <v>1111183</v>
      </c>
      <c r="B75" t="s">
        <v>297</v>
      </c>
      <c r="C75" t="s">
        <v>92</v>
      </c>
      <c r="D75" s="1">
        <v>36328</v>
      </c>
      <c r="E75" t="s">
        <v>335</v>
      </c>
      <c r="F75">
        <v>988616588</v>
      </c>
      <c r="G75">
        <v>17150049</v>
      </c>
    </row>
    <row r="76" spans="1:7" x14ac:dyDescent="0.25">
      <c r="A76">
        <v>1111184</v>
      </c>
      <c r="B76" t="s">
        <v>298</v>
      </c>
      <c r="C76" t="s">
        <v>325</v>
      </c>
      <c r="D76" s="1">
        <v>35686</v>
      </c>
      <c r="E76" t="s">
        <v>336</v>
      </c>
      <c r="G76">
        <v>15151183</v>
      </c>
    </row>
    <row r="77" spans="1:7" x14ac:dyDescent="0.25">
      <c r="A77">
        <v>1111185</v>
      </c>
      <c r="B77" t="s">
        <v>299</v>
      </c>
      <c r="C77" t="s">
        <v>312</v>
      </c>
      <c r="D77" s="1">
        <v>35817</v>
      </c>
      <c r="E77" t="s">
        <v>337</v>
      </c>
      <c r="G77">
        <v>16151649</v>
      </c>
    </row>
    <row r="78" spans="1:7" x14ac:dyDescent="0.25">
      <c r="A78">
        <v>1111186</v>
      </c>
      <c r="B78" t="s">
        <v>300</v>
      </c>
      <c r="C78" t="s">
        <v>311</v>
      </c>
      <c r="D78" s="1">
        <v>36301</v>
      </c>
      <c r="E78" t="s">
        <v>338</v>
      </c>
      <c r="F78">
        <v>919611828</v>
      </c>
      <c r="G78">
        <v>17150163</v>
      </c>
    </row>
    <row r="79" spans="1:7" x14ac:dyDescent="0.25">
      <c r="A79">
        <v>1111187</v>
      </c>
      <c r="B79" t="s">
        <v>301</v>
      </c>
      <c r="C79" t="s">
        <v>92</v>
      </c>
      <c r="D79" s="1">
        <v>36264</v>
      </c>
      <c r="E79" t="s">
        <v>339</v>
      </c>
      <c r="G79">
        <v>17150052</v>
      </c>
    </row>
    <row r="80" spans="1:7" x14ac:dyDescent="0.25">
      <c r="A80">
        <v>1111188</v>
      </c>
      <c r="B80" t="s">
        <v>302</v>
      </c>
      <c r="C80" t="s">
        <v>309</v>
      </c>
      <c r="D80" s="1">
        <v>36679</v>
      </c>
      <c r="E80" t="s">
        <v>340</v>
      </c>
      <c r="F80">
        <v>948192263</v>
      </c>
      <c r="G80">
        <v>18150208</v>
      </c>
    </row>
    <row r="81" spans="1:7" ht="15" customHeight="1" x14ac:dyDescent="0.25">
      <c r="A81">
        <v>1111189</v>
      </c>
      <c r="B81" t="s">
        <v>303</v>
      </c>
      <c r="C81" t="s">
        <v>320</v>
      </c>
      <c r="D81" s="1">
        <v>36066</v>
      </c>
      <c r="E81" t="s">
        <v>341</v>
      </c>
      <c r="F81">
        <v>914111707</v>
      </c>
      <c r="G81">
        <v>16150190</v>
      </c>
    </row>
    <row r="82" spans="1:7" x14ac:dyDescent="0.25">
      <c r="A82">
        <v>1111190</v>
      </c>
      <c r="B82" t="s">
        <v>304</v>
      </c>
      <c r="C82" t="s">
        <v>316</v>
      </c>
      <c r="D82" s="1">
        <v>36319</v>
      </c>
      <c r="E82" t="s">
        <v>342</v>
      </c>
      <c r="G82">
        <v>17150504</v>
      </c>
    </row>
    <row r="83" spans="1:7" x14ac:dyDescent="0.25">
      <c r="A83">
        <v>1111191</v>
      </c>
      <c r="B83" t="s">
        <v>305</v>
      </c>
      <c r="C83" t="s">
        <v>326</v>
      </c>
      <c r="D83" s="1">
        <v>36126</v>
      </c>
      <c r="E83" t="s">
        <v>343</v>
      </c>
      <c r="F83">
        <v>914145414</v>
      </c>
      <c r="G83">
        <v>16150345</v>
      </c>
    </row>
    <row r="84" spans="1:7" x14ac:dyDescent="0.25">
      <c r="A84">
        <v>1111192</v>
      </c>
      <c r="B84" t="s">
        <v>306</v>
      </c>
      <c r="C84" t="s">
        <v>309</v>
      </c>
      <c r="D84" s="1">
        <v>36593</v>
      </c>
      <c r="E84" t="s">
        <v>95</v>
      </c>
      <c r="G84">
        <v>18150211</v>
      </c>
    </row>
    <row r="85" spans="1:7" x14ac:dyDescent="0.25">
      <c r="A85">
        <v>1111193</v>
      </c>
      <c r="B85" t="s">
        <v>307</v>
      </c>
      <c r="C85" t="s">
        <v>309</v>
      </c>
      <c r="D85" s="1">
        <v>36774</v>
      </c>
      <c r="E85" t="s">
        <v>344</v>
      </c>
      <c r="F85">
        <v>982191252</v>
      </c>
      <c r="G85">
        <v>18150212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3" workbookViewId="0">
      <selection activeCell="A2" sqref="A2:A25"/>
    </sheetView>
  </sheetViews>
  <sheetFormatPr defaultRowHeight="15" x14ac:dyDescent="0.25"/>
  <cols>
    <col min="1" max="1" width="19.140625" style="9" customWidth="1"/>
    <col min="2" max="2" width="46.42578125" style="9" customWidth="1"/>
    <col min="3" max="3" width="16.140625" style="9" customWidth="1"/>
    <col min="4" max="6" width="9.140625" style="9"/>
    <col min="7" max="7" width="20.140625" style="9" customWidth="1"/>
    <col min="8" max="16384" width="9.140625" style="9"/>
  </cols>
  <sheetData>
    <row r="1" spans="1:3" x14ac:dyDescent="0.25">
      <c r="A1" s="9" t="s">
        <v>31</v>
      </c>
      <c r="B1" s="9" t="s">
        <v>32</v>
      </c>
      <c r="C1" s="9" t="s">
        <v>16</v>
      </c>
    </row>
    <row r="2" spans="1:3" x14ac:dyDescent="0.25">
      <c r="A2" s="9">
        <v>90</v>
      </c>
      <c r="B2" s="9" t="s">
        <v>100</v>
      </c>
      <c r="C2" s="9">
        <v>551</v>
      </c>
    </row>
    <row r="3" spans="1:3" x14ac:dyDescent="0.25">
      <c r="A3" s="9">
        <v>91</v>
      </c>
      <c r="B3" s="9" t="s">
        <v>101</v>
      </c>
      <c r="C3" s="9">
        <v>551</v>
      </c>
    </row>
    <row r="4" spans="1:3" x14ac:dyDescent="0.25">
      <c r="A4" s="9">
        <v>92</v>
      </c>
      <c r="B4" s="9" t="s">
        <v>102</v>
      </c>
      <c r="C4" s="9">
        <v>552</v>
      </c>
    </row>
    <row r="5" spans="1:3" x14ac:dyDescent="0.25">
      <c r="A5" s="9">
        <v>93</v>
      </c>
      <c r="B5" s="9" t="s">
        <v>103</v>
      </c>
      <c r="C5" s="9">
        <v>553</v>
      </c>
    </row>
    <row r="6" spans="1:3" x14ac:dyDescent="0.25">
      <c r="A6" s="9">
        <v>94</v>
      </c>
      <c r="B6" s="9" t="s">
        <v>104</v>
      </c>
      <c r="C6" s="9">
        <v>555</v>
      </c>
    </row>
    <row r="7" spans="1:3" x14ac:dyDescent="0.25">
      <c r="A7" s="9">
        <v>95</v>
      </c>
      <c r="B7" s="10" t="s">
        <v>150</v>
      </c>
      <c r="C7" s="9">
        <v>553</v>
      </c>
    </row>
    <row r="8" spans="1:3" x14ac:dyDescent="0.25">
      <c r="A8" s="9">
        <v>96</v>
      </c>
      <c r="B8" s="10" t="s">
        <v>151</v>
      </c>
      <c r="C8" s="9">
        <v>553</v>
      </c>
    </row>
    <row r="9" spans="1:3" x14ac:dyDescent="0.25">
      <c r="A9" s="9">
        <v>97</v>
      </c>
      <c r="B9" s="10" t="s">
        <v>152</v>
      </c>
      <c r="C9" s="9">
        <v>553</v>
      </c>
    </row>
    <row r="10" spans="1:3" x14ac:dyDescent="0.25">
      <c r="A10" s="9">
        <v>98</v>
      </c>
      <c r="B10" s="10" t="s">
        <v>153</v>
      </c>
      <c r="C10" s="9">
        <v>553</v>
      </c>
    </row>
    <row r="11" spans="1:3" x14ac:dyDescent="0.25">
      <c r="A11" s="9">
        <v>99</v>
      </c>
      <c r="B11" s="10" t="s">
        <v>154</v>
      </c>
      <c r="C11" s="9">
        <v>553</v>
      </c>
    </row>
    <row r="12" spans="1:3" x14ac:dyDescent="0.25">
      <c r="A12" s="9">
        <v>100</v>
      </c>
      <c r="B12" s="10" t="s">
        <v>155</v>
      </c>
      <c r="C12" s="9">
        <v>553</v>
      </c>
    </row>
    <row r="13" spans="1:3" x14ac:dyDescent="0.25">
      <c r="A13" s="9">
        <v>101</v>
      </c>
      <c r="B13" s="9" t="s">
        <v>157</v>
      </c>
      <c r="C13" s="9">
        <v>571</v>
      </c>
    </row>
    <row r="14" spans="1:3" x14ac:dyDescent="0.25">
      <c r="A14" s="9">
        <v>102</v>
      </c>
      <c r="B14" s="10" t="s">
        <v>176</v>
      </c>
      <c r="C14" s="9">
        <v>571</v>
      </c>
    </row>
    <row r="15" spans="1:3" x14ac:dyDescent="0.25">
      <c r="A15" s="9">
        <v>103</v>
      </c>
      <c r="B15" s="10" t="s">
        <v>175</v>
      </c>
      <c r="C15" s="9">
        <v>571</v>
      </c>
    </row>
    <row r="16" spans="1:3" x14ac:dyDescent="0.25">
      <c r="A16" s="9">
        <v>104</v>
      </c>
      <c r="B16" s="17" t="s">
        <v>177</v>
      </c>
      <c r="C16" s="9">
        <v>571</v>
      </c>
    </row>
    <row r="17" spans="1:3" x14ac:dyDescent="0.25">
      <c r="A17" s="9">
        <v>105</v>
      </c>
      <c r="B17" s="9" t="s">
        <v>371</v>
      </c>
      <c r="C17" s="9">
        <v>562</v>
      </c>
    </row>
    <row r="18" spans="1:3" x14ac:dyDescent="0.25">
      <c r="A18" s="9">
        <v>106</v>
      </c>
      <c r="B18" s="9" t="s">
        <v>372</v>
      </c>
      <c r="C18" s="9">
        <v>558</v>
      </c>
    </row>
    <row r="19" spans="1:3" x14ac:dyDescent="0.25">
      <c r="A19" s="9">
        <v>107</v>
      </c>
      <c r="B19" s="9" t="s">
        <v>373</v>
      </c>
      <c r="C19" s="9">
        <v>558</v>
      </c>
    </row>
    <row r="20" spans="1:3" x14ac:dyDescent="0.25">
      <c r="A20" s="9">
        <v>108</v>
      </c>
      <c r="B20" s="9" t="s">
        <v>374</v>
      </c>
      <c r="C20" s="9">
        <v>558</v>
      </c>
    </row>
    <row r="21" spans="1:3" x14ac:dyDescent="0.25">
      <c r="A21" s="9">
        <v>109</v>
      </c>
      <c r="B21" s="9" t="s">
        <v>375</v>
      </c>
      <c r="C21" s="9">
        <v>562</v>
      </c>
    </row>
    <row r="22" spans="1:3" x14ac:dyDescent="0.25">
      <c r="A22" s="9">
        <v>110</v>
      </c>
      <c r="B22" s="9" t="s">
        <v>377</v>
      </c>
      <c r="C22" s="9">
        <v>558</v>
      </c>
    </row>
    <row r="23" spans="1:3" x14ac:dyDescent="0.25">
      <c r="A23" s="9">
        <v>111</v>
      </c>
      <c r="B23" s="9" t="s">
        <v>378</v>
      </c>
      <c r="C23" s="9">
        <v>558</v>
      </c>
    </row>
    <row r="24" spans="1:3" x14ac:dyDescent="0.25">
      <c r="A24" s="9">
        <v>112</v>
      </c>
      <c r="B24" s="9" t="s">
        <v>380</v>
      </c>
      <c r="C24" s="9">
        <v>553</v>
      </c>
    </row>
    <row r="25" spans="1:3" x14ac:dyDescent="0.25">
      <c r="A25" s="9">
        <v>113</v>
      </c>
      <c r="B25" s="9" t="s">
        <v>382</v>
      </c>
      <c r="C25" s="9">
        <v>565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workbookViewId="0">
      <selection activeCell="C25" sqref="C25"/>
    </sheetView>
  </sheetViews>
  <sheetFormatPr defaultRowHeight="15" x14ac:dyDescent="0.25"/>
  <cols>
    <col min="1" max="1" width="23.7109375" customWidth="1"/>
    <col min="2" max="2" width="20.85546875" customWidth="1"/>
  </cols>
  <sheetData>
    <row r="1" spans="1:2" x14ac:dyDescent="0.25">
      <c r="A1" t="s">
        <v>31</v>
      </c>
      <c r="B1" t="s">
        <v>0</v>
      </c>
    </row>
    <row r="2" spans="1:2" x14ac:dyDescent="0.25">
      <c r="A2">
        <v>90</v>
      </c>
      <c r="B2">
        <v>18576</v>
      </c>
    </row>
    <row r="3" spans="1:2" x14ac:dyDescent="0.25">
      <c r="A3">
        <v>91</v>
      </c>
      <c r="B3">
        <v>18577</v>
      </c>
    </row>
    <row r="4" spans="1:2" x14ac:dyDescent="0.25">
      <c r="A4">
        <v>92</v>
      </c>
      <c r="B4">
        <v>18578</v>
      </c>
    </row>
    <row r="5" spans="1:2" x14ac:dyDescent="0.25">
      <c r="A5">
        <v>93</v>
      </c>
      <c r="B5">
        <v>18579</v>
      </c>
    </row>
    <row r="6" spans="1:2" x14ac:dyDescent="0.25">
      <c r="A6">
        <v>94</v>
      </c>
      <c r="B6">
        <v>18580</v>
      </c>
    </row>
    <row r="7" spans="1:2" x14ac:dyDescent="0.25">
      <c r="A7">
        <v>95</v>
      </c>
      <c r="B7">
        <v>18579</v>
      </c>
    </row>
    <row r="8" spans="1:2" x14ac:dyDescent="0.25">
      <c r="A8">
        <v>96</v>
      </c>
      <c r="B8">
        <v>18579</v>
      </c>
    </row>
    <row r="9" spans="1:2" x14ac:dyDescent="0.25">
      <c r="A9">
        <v>97</v>
      </c>
      <c r="B9">
        <v>18579</v>
      </c>
    </row>
    <row r="10" spans="1:2" x14ac:dyDescent="0.25">
      <c r="A10">
        <v>98</v>
      </c>
      <c r="B10">
        <v>18579</v>
      </c>
    </row>
    <row r="11" spans="1:2" x14ac:dyDescent="0.25">
      <c r="A11">
        <v>99</v>
      </c>
      <c r="B11">
        <v>18579</v>
      </c>
    </row>
    <row r="12" spans="1:2" x14ac:dyDescent="0.25">
      <c r="A12">
        <v>100</v>
      </c>
      <c r="B12">
        <v>18579</v>
      </c>
    </row>
    <row r="13" spans="1:2" x14ac:dyDescent="0.25">
      <c r="A13">
        <v>101</v>
      </c>
      <c r="B13">
        <v>18580</v>
      </c>
    </row>
    <row r="14" spans="1:2" x14ac:dyDescent="0.25">
      <c r="A14">
        <v>102</v>
      </c>
      <c r="B14">
        <v>18580</v>
      </c>
    </row>
    <row r="15" spans="1:2" x14ac:dyDescent="0.25">
      <c r="A15">
        <v>103</v>
      </c>
      <c r="B15">
        <v>18580</v>
      </c>
    </row>
    <row r="16" spans="1:2" x14ac:dyDescent="0.25">
      <c r="A16">
        <v>104</v>
      </c>
      <c r="B16">
        <v>18580</v>
      </c>
    </row>
    <row r="17" spans="1:2" x14ac:dyDescent="0.25">
      <c r="A17">
        <v>105</v>
      </c>
      <c r="B17">
        <v>18583</v>
      </c>
    </row>
    <row r="18" spans="1:2" x14ac:dyDescent="0.25">
      <c r="A18">
        <v>106</v>
      </c>
      <c r="B18">
        <v>18582</v>
      </c>
    </row>
    <row r="19" spans="1:2" x14ac:dyDescent="0.25">
      <c r="A19">
        <v>107</v>
      </c>
      <c r="B19">
        <v>18582</v>
      </c>
    </row>
    <row r="20" spans="1:2" x14ac:dyDescent="0.25">
      <c r="A20">
        <v>108</v>
      </c>
      <c r="B20">
        <v>18582</v>
      </c>
    </row>
    <row r="21" spans="1:2" x14ac:dyDescent="0.25">
      <c r="A21">
        <v>109</v>
      </c>
      <c r="B21">
        <v>18580</v>
      </c>
    </row>
    <row r="22" spans="1:2" x14ac:dyDescent="0.25">
      <c r="A22">
        <v>110</v>
      </c>
      <c r="B22">
        <v>18584</v>
      </c>
    </row>
    <row r="23" spans="1:2" x14ac:dyDescent="0.25">
      <c r="A23">
        <v>111</v>
      </c>
      <c r="B23">
        <v>18584</v>
      </c>
    </row>
    <row r="24" spans="1:2" x14ac:dyDescent="0.25">
      <c r="A24">
        <v>112</v>
      </c>
      <c r="B24">
        <v>18585</v>
      </c>
    </row>
    <row r="25" spans="1:2" x14ac:dyDescent="0.25">
      <c r="A25">
        <v>113</v>
      </c>
      <c r="B25">
        <v>18586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A2" sqref="A1:D41"/>
    </sheetView>
  </sheetViews>
  <sheetFormatPr defaultRowHeight="15" x14ac:dyDescent="0.25"/>
  <cols>
    <col min="1" max="1" width="25" customWidth="1"/>
    <col min="2" max="2" width="23.140625" customWidth="1"/>
    <col min="3" max="3" width="18.42578125" customWidth="1"/>
    <col min="4" max="4" width="17.140625" customWidth="1"/>
  </cols>
  <sheetData>
    <row r="1" spans="1:4" x14ac:dyDescent="0.25">
      <c r="A1" t="s">
        <v>33</v>
      </c>
      <c r="B1" t="s">
        <v>34</v>
      </c>
      <c r="C1" t="s">
        <v>35</v>
      </c>
      <c r="D1" t="s">
        <v>20</v>
      </c>
    </row>
    <row r="2" spans="1:4" x14ac:dyDescent="0.25">
      <c r="A2">
        <v>122</v>
      </c>
      <c r="B2" s="1">
        <v>43891</v>
      </c>
      <c r="C2" s="1">
        <v>43904</v>
      </c>
      <c r="D2" s="19">
        <v>17150001</v>
      </c>
    </row>
    <row r="3" spans="1:4" x14ac:dyDescent="0.25">
      <c r="A3">
        <v>123</v>
      </c>
      <c r="B3" s="1">
        <v>43894</v>
      </c>
      <c r="C3" s="1">
        <v>43908</v>
      </c>
      <c r="D3" s="19">
        <v>17150002</v>
      </c>
    </row>
    <row r="4" spans="1:4" x14ac:dyDescent="0.25">
      <c r="A4">
        <v>124</v>
      </c>
      <c r="B4" s="1">
        <v>43927</v>
      </c>
      <c r="C4" s="1">
        <v>43934</v>
      </c>
      <c r="D4" s="19">
        <v>17150003</v>
      </c>
    </row>
    <row r="5" spans="1:4" x14ac:dyDescent="0.25">
      <c r="A5">
        <v>125</v>
      </c>
      <c r="B5" s="1">
        <v>43892</v>
      </c>
      <c r="C5" s="1">
        <v>43899</v>
      </c>
      <c r="D5" s="19">
        <v>17150004</v>
      </c>
    </row>
    <row r="6" spans="1:4" x14ac:dyDescent="0.25">
      <c r="A6">
        <v>126</v>
      </c>
      <c r="B6" s="1">
        <v>43891</v>
      </c>
      <c r="C6" s="1">
        <v>43900</v>
      </c>
      <c r="D6" s="19">
        <v>17150005</v>
      </c>
    </row>
    <row r="7" spans="1:4" x14ac:dyDescent="0.25">
      <c r="A7">
        <v>127</v>
      </c>
      <c r="B7" s="1">
        <f ca="1">RANDBETWEEN(DATE(2020,2,1),DATE(2020,3,31))</f>
        <v>43876</v>
      </c>
      <c r="C7" s="1">
        <f ca="1">RANDBETWEEN(DATE(2020,4,1),DATE(2020,5,31))</f>
        <v>43964</v>
      </c>
      <c r="D7" s="19">
        <v>18150230</v>
      </c>
    </row>
    <row r="8" spans="1:4" x14ac:dyDescent="0.25">
      <c r="A8">
        <v>128</v>
      </c>
      <c r="B8" s="1">
        <f t="shared" ref="B8:B41" ca="1" si="0">RANDBETWEEN(DATE(2020,2,1),DATE(2020,3,31))</f>
        <v>43902</v>
      </c>
      <c r="C8" s="1">
        <f t="shared" ref="C8:C41" ca="1" si="1">RANDBETWEEN(DATE(2020,4,1),DATE(2020,5,31))</f>
        <v>43937</v>
      </c>
      <c r="D8" s="19">
        <v>18150169</v>
      </c>
    </row>
    <row r="9" spans="1:4" x14ac:dyDescent="0.25">
      <c r="A9">
        <v>129</v>
      </c>
      <c r="B9" s="1">
        <f t="shared" ca="1" si="0"/>
        <v>43885</v>
      </c>
      <c r="C9" s="1">
        <f t="shared" ca="1" si="1"/>
        <v>43975</v>
      </c>
      <c r="D9" s="19">
        <v>18150232</v>
      </c>
    </row>
    <row r="10" spans="1:4" x14ac:dyDescent="0.25">
      <c r="A10">
        <v>130</v>
      </c>
      <c r="B10" s="1">
        <f t="shared" ca="1" si="0"/>
        <v>43892</v>
      </c>
      <c r="C10" s="1">
        <f t="shared" ca="1" si="1"/>
        <v>43975</v>
      </c>
      <c r="D10" s="19">
        <v>18150172</v>
      </c>
    </row>
    <row r="11" spans="1:4" x14ac:dyDescent="0.25">
      <c r="A11">
        <v>131</v>
      </c>
      <c r="B11" s="1">
        <f t="shared" ca="1" si="0"/>
        <v>43886</v>
      </c>
      <c r="C11" s="1">
        <f t="shared" ca="1" si="1"/>
        <v>43968</v>
      </c>
      <c r="D11" s="19">
        <v>18150173</v>
      </c>
    </row>
    <row r="12" spans="1:4" x14ac:dyDescent="0.25">
      <c r="A12">
        <v>132</v>
      </c>
      <c r="B12" s="1">
        <f t="shared" ca="1" si="0"/>
        <v>43912</v>
      </c>
      <c r="C12" s="1">
        <f t="shared" ca="1" si="1"/>
        <v>43943</v>
      </c>
      <c r="D12" s="19">
        <v>18150174</v>
      </c>
    </row>
    <row r="13" spans="1:4" x14ac:dyDescent="0.25">
      <c r="A13">
        <v>133</v>
      </c>
      <c r="B13" s="1">
        <f t="shared" ca="1" si="0"/>
        <v>43884</v>
      </c>
      <c r="C13" s="1">
        <f t="shared" ca="1" si="1"/>
        <v>43956</v>
      </c>
      <c r="D13" s="19">
        <v>18150233</v>
      </c>
    </row>
    <row r="14" spans="1:4" x14ac:dyDescent="0.25">
      <c r="A14">
        <v>134</v>
      </c>
      <c r="B14" s="1">
        <f t="shared" ca="1" si="0"/>
        <v>43865</v>
      </c>
      <c r="C14" s="1">
        <f t="shared" ca="1" si="1"/>
        <v>43940</v>
      </c>
      <c r="D14">
        <v>18150171</v>
      </c>
    </row>
    <row r="15" spans="1:4" x14ac:dyDescent="0.25">
      <c r="A15">
        <v>135</v>
      </c>
      <c r="B15" s="1">
        <f t="shared" ca="1" si="0"/>
        <v>43864</v>
      </c>
      <c r="C15" s="1">
        <f t="shared" ca="1" si="1"/>
        <v>43954</v>
      </c>
      <c r="D15">
        <v>18150234</v>
      </c>
    </row>
    <row r="16" spans="1:4" x14ac:dyDescent="0.25">
      <c r="A16">
        <v>136</v>
      </c>
      <c r="B16" s="1">
        <f t="shared" ca="1" si="0"/>
        <v>43869</v>
      </c>
      <c r="C16" s="1">
        <f t="shared" ca="1" si="1"/>
        <v>43964</v>
      </c>
      <c r="D16">
        <v>18150238</v>
      </c>
    </row>
    <row r="17" spans="1:4" x14ac:dyDescent="0.25">
      <c r="A17">
        <v>137</v>
      </c>
      <c r="B17" s="1">
        <f t="shared" ca="1" si="0"/>
        <v>43906</v>
      </c>
      <c r="C17" s="1">
        <f t="shared" ca="1" si="1"/>
        <v>43972</v>
      </c>
      <c r="D17">
        <v>17150003</v>
      </c>
    </row>
    <row r="18" spans="1:4" x14ac:dyDescent="0.25">
      <c r="A18">
        <v>138</v>
      </c>
      <c r="B18" s="1">
        <f t="shared" ca="1" si="0"/>
        <v>43901</v>
      </c>
      <c r="C18" s="1">
        <f t="shared" ca="1" si="1"/>
        <v>43930</v>
      </c>
      <c r="D18">
        <v>17150085</v>
      </c>
    </row>
    <row r="19" spans="1:4" x14ac:dyDescent="0.25">
      <c r="A19">
        <v>139</v>
      </c>
      <c r="B19" s="1">
        <f t="shared" ca="1" si="0"/>
        <v>43887</v>
      </c>
      <c r="C19" s="1">
        <f t="shared" ca="1" si="1"/>
        <v>43937</v>
      </c>
      <c r="D19">
        <v>18150175</v>
      </c>
    </row>
    <row r="20" spans="1:4" x14ac:dyDescent="0.25">
      <c r="A20">
        <v>140</v>
      </c>
      <c r="B20" s="1">
        <f t="shared" ca="1" si="0"/>
        <v>43901</v>
      </c>
      <c r="C20" s="1">
        <f t="shared" ca="1" si="1"/>
        <v>43952</v>
      </c>
      <c r="D20">
        <v>16150084</v>
      </c>
    </row>
    <row r="21" spans="1:4" x14ac:dyDescent="0.25">
      <c r="A21">
        <v>141</v>
      </c>
      <c r="B21" s="1">
        <f t="shared" ca="1" si="0"/>
        <v>43866</v>
      </c>
      <c r="C21" s="1">
        <f t="shared" ca="1" si="1"/>
        <v>43978</v>
      </c>
      <c r="D21">
        <v>18150179</v>
      </c>
    </row>
    <row r="22" spans="1:4" x14ac:dyDescent="0.25">
      <c r="A22">
        <v>142</v>
      </c>
      <c r="B22" s="1">
        <f t="shared" ca="1" si="0"/>
        <v>43881</v>
      </c>
      <c r="C22" s="1">
        <f t="shared" ca="1" si="1"/>
        <v>43934</v>
      </c>
      <c r="D22">
        <v>16150229</v>
      </c>
    </row>
    <row r="23" spans="1:4" x14ac:dyDescent="0.25">
      <c r="A23">
        <v>143</v>
      </c>
      <c r="B23" s="1">
        <f t="shared" ca="1" si="0"/>
        <v>43912</v>
      </c>
      <c r="C23" s="1">
        <f t="shared" ca="1" si="1"/>
        <v>43922</v>
      </c>
      <c r="D23">
        <v>15150015</v>
      </c>
    </row>
    <row r="24" spans="1:4" x14ac:dyDescent="0.25">
      <c r="A24">
        <v>144</v>
      </c>
      <c r="B24" s="1">
        <f t="shared" ca="1" si="0"/>
        <v>43885</v>
      </c>
      <c r="C24" s="1">
        <f t="shared" ca="1" si="1"/>
        <v>43952</v>
      </c>
      <c r="D24">
        <v>18150123</v>
      </c>
    </row>
    <row r="25" spans="1:4" x14ac:dyDescent="0.25">
      <c r="A25">
        <v>145</v>
      </c>
      <c r="B25" s="1">
        <f t="shared" ca="1" si="0"/>
        <v>43874</v>
      </c>
      <c r="C25" s="1">
        <f t="shared" ca="1" si="1"/>
        <v>43965</v>
      </c>
      <c r="D25">
        <v>18150187</v>
      </c>
    </row>
    <row r="26" spans="1:4" x14ac:dyDescent="0.25">
      <c r="A26">
        <v>146</v>
      </c>
      <c r="B26" s="1">
        <f t="shared" ca="1" si="0"/>
        <v>43892</v>
      </c>
      <c r="C26" s="1">
        <f t="shared" ca="1" si="1"/>
        <v>43971</v>
      </c>
      <c r="D26">
        <v>18150188</v>
      </c>
    </row>
    <row r="27" spans="1:4" x14ac:dyDescent="0.25">
      <c r="A27">
        <v>147</v>
      </c>
      <c r="B27" s="1">
        <f t="shared" ca="1" si="0"/>
        <v>43898</v>
      </c>
      <c r="C27" s="1">
        <f t="shared" ca="1" si="1"/>
        <v>43922</v>
      </c>
      <c r="D27">
        <v>18150185</v>
      </c>
    </row>
    <row r="28" spans="1:4" x14ac:dyDescent="0.25">
      <c r="A28">
        <v>148</v>
      </c>
      <c r="B28" s="1">
        <f t="shared" ca="1" si="0"/>
        <v>43874</v>
      </c>
      <c r="C28" s="1">
        <f t="shared" ca="1" si="1"/>
        <v>43978</v>
      </c>
      <c r="D28">
        <v>17151004</v>
      </c>
    </row>
    <row r="29" spans="1:4" x14ac:dyDescent="0.25">
      <c r="A29">
        <v>149</v>
      </c>
      <c r="B29" s="1">
        <f t="shared" ca="1" si="0"/>
        <v>43906</v>
      </c>
      <c r="C29" s="1">
        <f t="shared" ca="1" si="1"/>
        <v>43937</v>
      </c>
      <c r="D29">
        <v>18150248</v>
      </c>
    </row>
    <row r="30" spans="1:4" x14ac:dyDescent="0.25">
      <c r="A30">
        <v>150</v>
      </c>
      <c r="B30" s="1">
        <f t="shared" ca="1" si="0"/>
        <v>43893</v>
      </c>
      <c r="C30" s="1">
        <f t="shared" ca="1" si="1"/>
        <v>43980</v>
      </c>
      <c r="D30">
        <v>18150249</v>
      </c>
    </row>
    <row r="31" spans="1:4" x14ac:dyDescent="0.25">
      <c r="A31">
        <v>151</v>
      </c>
      <c r="B31" s="1">
        <f t="shared" ca="1" si="0"/>
        <v>43910</v>
      </c>
      <c r="C31" s="1">
        <f t="shared" ca="1" si="1"/>
        <v>43972</v>
      </c>
      <c r="D31">
        <v>18150181</v>
      </c>
    </row>
    <row r="32" spans="1:4" x14ac:dyDescent="0.25">
      <c r="A32">
        <v>152</v>
      </c>
      <c r="B32" s="1">
        <f t="shared" ca="1" si="0"/>
        <v>43901</v>
      </c>
      <c r="C32" s="1">
        <f t="shared" ca="1" si="1"/>
        <v>43966</v>
      </c>
      <c r="D32">
        <v>17150008</v>
      </c>
    </row>
    <row r="33" spans="1:4" x14ac:dyDescent="0.25">
      <c r="A33">
        <v>153</v>
      </c>
      <c r="B33" s="1">
        <f t="shared" ca="1" si="0"/>
        <v>43886</v>
      </c>
      <c r="C33" s="1">
        <f t="shared" ca="1" si="1"/>
        <v>43924</v>
      </c>
      <c r="D33">
        <v>17150424</v>
      </c>
    </row>
    <row r="34" spans="1:4" x14ac:dyDescent="0.25">
      <c r="A34">
        <v>154</v>
      </c>
      <c r="B34" s="1">
        <f t="shared" ca="1" si="0"/>
        <v>43872</v>
      </c>
      <c r="C34" s="1">
        <f t="shared" ca="1" si="1"/>
        <v>43958</v>
      </c>
      <c r="D34">
        <v>17150010</v>
      </c>
    </row>
    <row r="35" spans="1:4" x14ac:dyDescent="0.25">
      <c r="A35">
        <v>155</v>
      </c>
      <c r="B35" s="1">
        <f t="shared" ca="1" si="0"/>
        <v>43897</v>
      </c>
      <c r="C35" s="1">
        <f t="shared" ca="1" si="1"/>
        <v>43931</v>
      </c>
      <c r="D35">
        <v>18150183</v>
      </c>
    </row>
    <row r="36" spans="1:4" x14ac:dyDescent="0.25">
      <c r="A36">
        <v>156</v>
      </c>
      <c r="B36" s="1">
        <f t="shared" ca="1" si="0"/>
        <v>43890</v>
      </c>
      <c r="C36" s="1">
        <f t="shared" ca="1" si="1"/>
        <v>43925</v>
      </c>
      <c r="D36">
        <v>18150246</v>
      </c>
    </row>
    <row r="37" spans="1:4" x14ac:dyDescent="0.25">
      <c r="A37">
        <v>157</v>
      </c>
      <c r="B37" s="1">
        <f t="shared" ca="1" si="0"/>
        <v>43865</v>
      </c>
      <c r="C37" s="1">
        <f t="shared" ca="1" si="1"/>
        <v>43924</v>
      </c>
      <c r="D37">
        <v>18150189</v>
      </c>
    </row>
    <row r="38" spans="1:4" x14ac:dyDescent="0.25">
      <c r="A38">
        <v>158</v>
      </c>
      <c r="B38" s="1">
        <f t="shared" ca="1" si="0"/>
        <v>43904</v>
      </c>
      <c r="C38" s="1">
        <f t="shared" ca="1" si="1"/>
        <v>43927</v>
      </c>
      <c r="D38">
        <v>17150020</v>
      </c>
    </row>
    <row r="39" spans="1:4" x14ac:dyDescent="0.25">
      <c r="A39">
        <v>159</v>
      </c>
      <c r="B39" s="1">
        <f t="shared" ca="1" si="0"/>
        <v>43916</v>
      </c>
      <c r="C39" s="1">
        <f t="shared" ca="1" si="1"/>
        <v>43966</v>
      </c>
      <c r="D39">
        <v>18150190</v>
      </c>
    </row>
    <row r="40" spans="1:4" x14ac:dyDescent="0.25">
      <c r="A40">
        <v>160</v>
      </c>
      <c r="B40" s="1">
        <f t="shared" ca="1" si="0"/>
        <v>43875</v>
      </c>
      <c r="C40" s="1">
        <f t="shared" ca="1" si="1"/>
        <v>43966</v>
      </c>
      <c r="D40">
        <v>16150100</v>
      </c>
    </row>
    <row r="41" spans="1:4" x14ac:dyDescent="0.25">
      <c r="A41">
        <v>161</v>
      </c>
      <c r="B41" s="1">
        <f t="shared" ca="1" si="0"/>
        <v>43882</v>
      </c>
      <c r="C41" s="1">
        <f t="shared" ca="1" si="1"/>
        <v>43942</v>
      </c>
      <c r="D41">
        <v>18150255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8"/>
  <sheetViews>
    <sheetView topLeftCell="A7" workbookViewId="0">
      <selection activeCell="A2" sqref="A1:B78"/>
    </sheetView>
  </sheetViews>
  <sheetFormatPr defaultRowHeight="15" x14ac:dyDescent="0.25"/>
  <cols>
    <col min="1" max="1" width="17" customWidth="1"/>
    <col min="2" max="2" width="17.28515625" customWidth="1"/>
  </cols>
  <sheetData>
    <row r="1" spans="1:2" x14ac:dyDescent="0.25">
      <c r="A1" t="s">
        <v>33</v>
      </c>
      <c r="B1" t="s">
        <v>38</v>
      </c>
    </row>
    <row r="2" spans="1:2" x14ac:dyDescent="0.25">
      <c r="A2">
        <v>122</v>
      </c>
      <c r="B2">
        <v>10001000</v>
      </c>
    </row>
    <row r="3" spans="1:2" x14ac:dyDescent="0.25">
      <c r="A3">
        <v>123</v>
      </c>
      <c r="B3">
        <v>10001001</v>
      </c>
    </row>
    <row r="4" spans="1:2" x14ac:dyDescent="0.25">
      <c r="A4">
        <v>124</v>
      </c>
      <c r="B4">
        <v>10001002</v>
      </c>
    </row>
    <row r="5" spans="1:2" x14ac:dyDescent="0.25">
      <c r="A5">
        <v>125</v>
      </c>
      <c r="B5">
        <v>10001003</v>
      </c>
    </row>
    <row r="6" spans="1:2" x14ac:dyDescent="0.25">
      <c r="A6">
        <v>126</v>
      </c>
      <c r="B6">
        <v>10001004</v>
      </c>
    </row>
    <row r="7" spans="1:2" x14ac:dyDescent="0.25">
      <c r="A7">
        <v>127</v>
      </c>
      <c r="B7">
        <v>10001005</v>
      </c>
    </row>
    <row r="8" spans="1:2" x14ac:dyDescent="0.25">
      <c r="A8">
        <v>128</v>
      </c>
      <c r="B8">
        <v>10001006</v>
      </c>
    </row>
    <row r="9" spans="1:2" x14ac:dyDescent="0.25">
      <c r="A9">
        <v>129</v>
      </c>
      <c r="B9">
        <v>10001007</v>
      </c>
    </row>
    <row r="10" spans="1:2" x14ac:dyDescent="0.25">
      <c r="A10">
        <v>130</v>
      </c>
      <c r="B10">
        <v>10001009</v>
      </c>
    </row>
    <row r="11" spans="1:2" x14ac:dyDescent="0.25">
      <c r="A11">
        <v>131</v>
      </c>
      <c r="B11">
        <v>10001012</v>
      </c>
    </row>
    <row r="12" spans="1:2" x14ac:dyDescent="0.25">
      <c r="A12">
        <v>132</v>
      </c>
      <c r="B12">
        <v>10001013</v>
      </c>
    </row>
    <row r="13" spans="1:2" x14ac:dyDescent="0.25">
      <c r="A13">
        <v>133</v>
      </c>
      <c r="B13">
        <v>10001014</v>
      </c>
    </row>
    <row r="14" spans="1:2" x14ac:dyDescent="0.25">
      <c r="A14">
        <v>122</v>
      </c>
      <c r="B14">
        <v>10001080</v>
      </c>
    </row>
    <row r="15" spans="1:2" x14ac:dyDescent="0.25">
      <c r="A15">
        <v>123</v>
      </c>
      <c r="B15">
        <v>10001083</v>
      </c>
    </row>
    <row r="16" spans="1:2" x14ac:dyDescent="0.25">
      <c r="A16">
        <v>124</v>
      </c>
      <c r="B16">
        <v>10001087</v>
      </c>
    </row>
    <row r="17" spans="1:2" x14ac:dyDescent="0.25">
      <c r="A17">
        <v>125</v>
      </c>
      <c r="B17">
        <v>10001090</v>
      </c>
    </row>
    <row r="18" spans="1:2" x14ac:dyDescent="0.25">
      <c r="A18">
        <v>126</v>
      </c>
      <c r="B18">
        <v>10001092</v>
      </c>
    </row>
    <row r="19" spans="1:2" x14ac:dyDescent="0.25">
      <c r="A19">
        <v>127</v>
      </c>
      <c r="B19">
        <v>10001096</v>
      </c>
    </row>
    <row r="20" spans="1:2" x14ac:dyDescent="0.25">
      <c r="A20">
        <v>128</v>
      </c>
      <c r="B20">
        <v>10001099</v>
      </c>
    </row>
    <row r="21" spans="1:2" x14ac:dyDescent="0.25">
      <c r="A21">
        <v>129</v>
      </c>
      <c r="B21">
        <v>10001100</v>
      </c>
    </row>
    <row r="22" spans="1:2" x14ac:dyDescent="0.25">
      <c r="A22">
        <v>130</v>
      </c>
      <c r="B22">
        <v>10001103</v>
      </c>
    </row>
    <row r="23" spans="1:2" x14ac:dyDescent="0.25">
      <c r="A23">
        <v>131</v>
      </c>
      <c r="B23">
        <v>10001106</v>
      </c>
    </row>
    <row r="24" spans="1:2" x14ac:dyDescent="0.25">
      <c r="A24">
        <v>132</v>
      </c>
      <c r="B24">
        <v>10001107</v>
      </c>
    </row>
    <row r="25" spans="1:2" x14ac:dyDescent="0.25">
      <c r="A25">
        <v>133</v>
      </c>
      <c r="B25">
        <v>10001110</v>
      </c>
    </row>
    <row r="26" spans="1:2" x14ac:dyDescent="0.25">
      <c r="A26">
        <v>134</v>
      </c>
      <c r="B26">
        <v>10001015</v>
      </c>
    </row>
    <row r="27" spans="1:2" x14ac:dyDescent="0.25">
      <c r="A27">
        <v>135</v>
      </c>
      <c r="B27">
        <v>10001019</v>
      </c>
    </row>
    <row r="28" spans="1:2" x14ac:dyDescent="0.25">
      <c r="A28">
        <v>136</v>
      </c>
      <c r="B28">
        <v>10001021</v>
      </c>
    </row>
    <row r="29" spans="1:2" x14ac:dyDescent="0.25">
      <c r="A29">
        <v>137</v>
      </c>
      <c r="B29">
        <v>10001023</v>
      </c>
    </row>
    <row r="30" spans="1:2" x14ac:dyDescent="0.25">
      <c r="A30">
        <v>138</v>
      </c>
      <c r="B30">
        <v>10001024</v>
      </c>
    </row>
    <row r="31" spans="1:2" x14ac:dyDescent="0.25">
      <c r="A31">
        <v>139</v>
      </c>
      <c r="B31">
        <v>10001025</v>
      </c>
    </row>
    <row r="32" spans="1:2" x14ac:dyDescent="0.25">
      <c r="A32">
        <v>140</v>
      </c>
      <c r="B32">
        <v>10001028</v>
      </c>
    </row>
    <row r="33" spans="1:2" x14ac:dyDescent="0.25">
      <c r="A33">
        <v>141</v>
      </c>
      <c r="B33">
        <v>10001030</v>
      </c>
    </row>
    <row r="34" spans="1:2" x14ac:dyDescent="0.25">
      <c r="A34">
        <v>142</v>
      </c>
      <c r="B34">
        <v>10001032</v>
      </c>
    </row>
    <row r="35" spans="1:2" x14ac:dyDescent="0.25">
      <c r="A35">
        <v>143</v>
      </c>
      <c r="B35">
        <v>10001035</v>
      </c>
    </row>
    <row r="36" spans="1:2" x14ac:dyDescent="0.25">
      <c r="A36">
        <v>144</v>
      </c>
      <c r="B36">
        <v>10001041</v>
      </c>
    </row>
    <row r="37" spans="1:2" x14ac:dyDescent="0.25">
      <c r="A37">
        <v>145</v>
      </c>
      <c r="B37">
        <v>10001042</v>
      </c>
    </row>
    <row r="38" spans="1:2" x14ac:dyDescent="0.25">
      <c r="A38">
        <v>146</v>
      </c>
      <c r="B38">
        <v>10001043</v>
      </c>
    </row>
    <row r="39" spans="1:2" x14ac:dyDescent="0.25">
      <c r="A39">
        <v>147</v>
      </c>
      <c r="B39">
        <v>10001044</v>
      </c>
    </row>
    <row r="40" spans="1:2" x14ac:dyDescent="0.25">
      <c r="A40">
        <v>148</v>
      </c>
      <c r="B40">
        <v>10001045</v>
      </c>
    </row>
    <row r="41" spans="1:2" x14ac:dyDescent="0.25">
      <c r="A41">
        <v>149</v>
      </c>
      <c r="B41">
        <v>10001046</v>
      </c>
    </row>
    <row r="42" spans="1:2" x14ac:dyDescent="0.25">
      <c r="A42">
        <v>150</v>
      </c>
      <c r="B42">
        <v>10001047</v>
      </c>
    </row>
    <row r="43" spans="1:2" x14ac:dyDescent="0.25">
      <c r="A43">
        <v>151</v>
      </c>
      <c r="B43">
        <v>10001049</v>
      </c>
    </row>
    <row r="44" spans="1:2" x14ac:dyDescent="0.25">
      <c r="A44">
        <v>152</v>
      </c>
      <c r="B44">
        <v>10001050</v>
      </c>
    </row>
    <row r="45" spans="1:2" x14ac:dyDescent="0.25">
      <c r="A45">
        <v>153</v>
      </c>
      <c r="B45">
        <v>10001056</v>
      </c>
    </row>
    <row r="46" spans="1:2" x14ac:dyDescent="0.25">
      <c r="A46">
        <v>154</v>
      </c>
      <c r="B46">
        <v>10001057</v>
      </c>
    </row>
    <row r="47" spans="1:2" x14ac:dyDescent="0.25">
      <c r="A47">
        <v>155</v>
      </c>
      <c r="B47">
        <v>10001060</v>
      </c>
    </row>
    <row r="48" spans="1:2" x14ac:dyDescent="0.25">
      <c r="A48">
        <v>156</v>
      </c>
      <c r="B48">
        <v>10001061</v>
      </c>
    </row>
    <row r="49" spans="1:2" x14ac:dyDescent="0.25">
      <c r="A49">
        <v>157</v>
      </c>
      <c r="B49">
        <v>10001063</v>
      </c>
    </row>
    <row r="50" spans="1:2" x14ac:dyDescent="0.25">
      <c r="A50">
        <v>158</v>
      </c>
      <c r="B50">
        <v>10001065</v>
      </c>
    </row>
    <row r="51" spans="1:2" x14ac:dyDescent="0.25">
      <c r="A51">
        <v>159</v>
      </c>
      <c r="B51">
        <v>10001068</v>
      </c>
    </row>
    <row r="52" spans="1:2" x14ac:dyDescent="0.25">
      <c r="A52">
        <v>160</v>
      </c>
      <c r="B52">
        <v>10001069</v>
      </c>
    </row>
    <row r="53" spans="1:2" x14ac:dyDescent="0.25">
      <c r="A53">
        <v>161</v>
      </c>
      <c r="B53">
        <v>10001078</v>
      </c>
    </row>
    <row r="54" spans="1:2" x14ac:dyDescent="0.25">
      <c r="A54">
        <v>134</v>
      </c>
      <c r="B54">
        <v>10001111</v>
      </c>
    </row>
    <row r="55" spans="1:2" x14ac:dyDescent="0.25">
      <c r="A55">
        <v>135</v>
      </c>
      <c r="B55">
        <v>10001113</v>
      </c>
    </row>
    <row r="56" spans="1:2" x14ac:dyDescent="0.25">
      <c r="A56">
        <v>136</v>
      </c>
      <c r="B56">
        <v>10001114</v>
      </c>
    </row>
    <row r="57" spans="1:2" x14ac:dyDescent="0.25">
      <c r="A57">
        <v>137</v>
      </c>
      <c r="B57">
        <v>10001115</v>
      </c>
    </row>
    <row r="58" spans="1:2" x14ac:dyDescent="0.25">
      <c r="A58">
        <v>138</v>
      </c>
      <c r="B58">
        <v>10001118</v>
      </c>
    </row>
    <row r="59" spans="1:2" x14ac:dyDescent="0.25">
      <c r="A59">
        <v>139</v>
      </c>
      <c r="B59">
        <v>10001120</v>
      </c>
    </row>
    <row r="60" spans="1:2" x14ac:dyDescent="0.25">
      <c r="A60">
        <v>140</v>
      </c>
      <c r="B60">
        <v>10001121</v>
      </c>
    </row>
    <row r="61" spans="1:2" x14ac:dyDescent="0.25">
      <c r="A61">
        <v>141</v>
      </c>
      <c r="B61">
        <v>10001124</v>
      </c>
    </row>
    <row r="62" spans="1:2" x14ac:dyDescent="0.25">
      <c r="A62">
        <v>142</v>
      </c>
      <c r="B62">
        <v>10001125</v>
      </c>
    </row>
    <row r="63" spans="1:2" x14ac:dyDescent="0.25">
      <c r="A63">
        <v>143</v>
      </c>
      <c r="B63">
        <v>10001126</v>
      </c>
    </row>
    <row r="64" spans="1:2" x14ac:dyDescent="0.25">
      <c r="A64">
        <v>144</v>
      </c>
      <c r="B64">
        <v>10001129</v>
      </c>
    </row>
    <row r="65" spans="1:2" x14ac:dyDescent="0.25">
      <c r="A65">
        <v>145</v>
      </c>
      <c r="B65">
        <v>10001131</v>
      </c>
    </row>
    <row r="66" spans="1:2" x14ac:dyDescent="0.25">
      <c r="A66">
        <v>146</v>
      </c>
      <c r="B66">
        <v>10001132</v>
      </c>
    </row>
    <row r="67" spans="1:2" x14ac:dyDescent="0.25">
      <c r="A67">
        <v>147</v>
      </c>
      <c r="B67">
        <v>10001136</v>
      </c>
    </row>
    <row r="68" spans="1:2" x14ac:dyDescent="0.25">
      <c r="A68">
        <v>148</v>
      </c>
      <c r="B68">
        <v>10001137</v>
      </c>
    </row>
    <row r="69" spans="1:2" x14ac:dyDescent="0.25">
      <c r="A69">
        <v>149</v>
      </c>
      <c r="B69">
        <v>10001138</v>
      </c>
    </row>
    <row r="70" spans="1:2" x14ac:dyDescent="0.25">
      <c r="A70">
        <v>150</v>
      </c>
      <c r="B70">
        <v>10001139</v>
      </c>
    </row>
    <row r="71" spans="1:2" x14ac:dyDescent="0.25">
      <c r="A71">
        <v>151</v>
      </c>
      <c r="B71">
        <v>10001140</v>
      </c>
    </row>
    <row r="72" spans="1:2" x14ac:dyDescent="0.25">
      <c r="A72">
        <v>152</v>
      </c>
      <c r="B72">
        <v>10001141</v>
      </c>
    </row>
    <row r="73" spans="1:2" x14ac:dyDescent="0.25">
      <c r="A73">
        <v>153</v>
      </c>
      <c r="B73">
        <v>10001142</v>
      </c>
    </row>
    <row r="74" spans="1:2" x14ac:dyDescent="0.25">
      <c r="A74">
        <v>154</v>
      </c>
      <c r="B74">
        <v>10001144</v>
      </c>
    </row>
    <row r="75" spans="1:2" x14ac:dyDescent="0.25">
      <c r="A75">
        <v>155</v>
      </c>
      <c r="B75">
        <v>10001145</v>
      </c>
    </row>
    <row r="76" spans="1:2" x14ac:dyDescent="0.25">
      <c r="A76">
        <v>156</v>
      </c>
      <c r="B76">
        <v>10001146</v>
      </c>
    </row>
    <row r="77" spans="1:2" x14ac:dyDescent="0.25">
      <c r="A77">
        <v>157</v>
      </c>
      <c r="B77">
        <v>10001147</v>
      </c>
    </row>
    <row r="78" spans="1:2" x14ac:dyDescent="0.25">
      <c r="A78">
        <v>158</v>
      </c>
      <c r="B78">
        <v>10001150</v>
      </c>
    </row>
  </sheetData>
  <autoFilter ref="A1:A78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"/>
  <sheetViews>
    <sheetView workbookViewId="0">
      <selection activeCell="A5" sqref="A1:C13"/>
    </sheetView>
  </sheetViews>
  <sheetFormatPr defaultRowHeight="15" x14ac:dyDescent="0.25"/>
  <cols>
    <col min="1" max="1" width="17.5703125" customWidth="1"/>
    <col min="2" max="2" width="21.140625" customWidth="1"/>
    <col min="3" max="3" width="12.5703125" customWidth="1"/>
  </cols>
  <sheetData>
    <row r="1" spans="1:3" x14ac:dyDescent="0.25">
      <c r="A1" t="s">
        <v>36</v>
      </c>
      <c r="B1" t="s">
        <v>37</v>
      </c>
      <c r="C1" t="s">
        <v>20</v>
      </c>
    </row>
    <row r="2" spans="1:3" x14ac:dyDescent="0.25">
      <c r="A2">
        <v>321</v>
      </c>
      <c r="B2" s="1">
        <v>43904</v>
      </c>
      <c r="C2">
        <v>17150001</v>
      </c>
    </row>
    <row r="3" spans="1:3" x14ac:dyDescent="0.25">
      <c r="A3">
        <v>322</v>
      </c>
      <c r="B3" s="1">
        <v>43908</v>
      </c>
      <c r="C3">
        <v>17150002</v>
      </c>
    </row>
    <row r="4" spans="1:3" x14ac:dyDescent="0.25">
      <c r="A4">
        <v>323</v>
      </c>
      <c r="B4" s="1">
        <v>43934</v>
      </c>
      <c r="C4">
        <v>17150003</v>
      </c>
    </row>
    <row r="5" spans="1:3" x14ac:dyDescent="0.25">
      <c r="A5">
        <v>324</v>
      </c>
      <c r="B5" s="1">
        <v>43899</v>
      </c>
      <c r="C5">
        <v>17150004</v>
      </c>
    </row>
    <row r="6" spans="1:3" x14ac:dyDescent="0.25">
      <c r="A6">
        <v>325</v>
      </c>
      <c r="B6" s="1">
        <v>43900</v>
      </c>
      <c r="C6">
        <v>17150005</v>
      </c>
    </row>
    <row r="7" spans="1:3" x14ac:dyDescent="0.25">
      <c r="A7">
        <v>326</v>
      </c>
      <c r="B7" s="1">
        <f ca="1">RANDBETWEEN(DATE(2020,3,31),DATE(2020,4,15))</f>
        <v>43934</v>
      </c>
      <c r="C7">
        <v>18150230</v>
      </c>
    </row>
    <row r="8" spans="1:3" x14ac:dyDescent="0.25">
      <c r="A8">
        <v>327</v>
      </c>
      <c r="B8" s="1">
        <f t="shared" ref="B8:B30" ca="1" si="0">RANDBETWEEN(DATE(2020,3,31),DATE(2020,4,15))</f>
        <v>43934</v>
      </c>
      <c r="C8">
        <v>18150169</v>
      </c>
    </row>
    <row r="9" spans="1:3" x14ac:dyDescent="0.25">
      <c r="A9">
        <v>328</v>
      </c>
      <c r="B9" s="1">
        <f t="shared" ca="1" si="0"/>
        <v>43933</v>
      </c>
      <c r="C9">
        <v>18150232</v>
      </c>
    </row>
    <row r="10" spans="1:3" x14ac:dyDescent="0.25">
      <c r="A10">
        <v>329</v>
      </c>
      <c r="B10" s="1">
        <f t="shared" ca="1" si="0"/>
        <v>43924</v>
      </c>
      <c r="C10">
        <v>18150172</v>
      </c>
    </row>
    <row r="11" spans="1:3" x14ac:dyDescent="0.25">
      <c r="A11">
        <v>330</v>
      </c>
      <c r="B11" s="1">
        <f t="shared" ca="1" si="0"/>
        <v>43931</v>
      </c>
      <c r="C11">
        <v>18150173</v>
      </c>
    </row>
    <row r="12" spans="1:3" x14ac:dyDescent="0.25">
      <c r="A12">
        <v>331</v>
      </c>
      <c r="B12" s="1">
        <f t="shared" ca="1" si="0"/>
        <v>43925</v>
      </c>
      <c r="C12">
        <v>18150174</v>
      </c>
    </row>
    <row r="13" spans="1:3" x14ac:dyDescent="0.25">
      <c r="A13">
        <v>332</v>
      </c>
      <c r="B13" s="1">
        <f t="shared" ca="1" si="0"/>
        <v>43925</v>
      </c>
      <c r="C13">
        <v>18150233</v>
      </c>
    </row>
    <row r="14" spans="1:3" x14ac:dyDescent="0.25">
      <c r="B14" s="1"/>
    </row>
    <row r="15" spans="1:3" x14ac:dyDescent="0.25">
      <c r="B15" s="1"/>
    </row>
    <row r="16" spans="1:3" x14ac:dyDescent="0.25">
      <c r="B16" s="1"/>
    </row>
    <row r="17" spans="2:2" x14ac:dyDescent="0.25">
      <c r="B17" s="1"/>
    </row>
    <row r="18" spans="2:2" x14ac:dyDescent="0.25">
      <c r="B18" s="1"/>
    </row>
    <row r="19" spans="2:2" x14ac:dyDescent="0.25">
      <c r="B19" s="1"/>
    </row>
    <row r="20" spans="2:2" x14ac:dyDescent="0.25">
      <c r="B20" s="1"/>
    </row>
    <row r="21" spans="2:2" x14ac:dyDescent="0.25">
      <c r="B21" s="1"/>
    </row>
    <row r="22" spans="2:2" x14ac:dyDescent="0.25">
      <c r="B22" s="1"/>
    </row>
    <row r="23" spans="2:2" x14ac:dyDescent="0.25">
      <c r="B23" s="1"/>
    </row>
    <row r="24" spans="2:2" x14ac:dyDescent="0.25">
      <c r="B24" s="1"/>
    </row>
    <row r="25" spans="2:2" x14ac:dyDescent="0.25">
      <c r="B25" s="1"/>
    </row>
    <row r="26" spans="2:2" x14ac:dyDescent="0.25">
      <c r="B26" s="1"/>
    </row>
    <row r="27" spans="2:2" x14ac:dyDescent="0.25">
      <c r="B27" s="1"/>
    </row>
    <row r="28" spans="2:2" x14ac:dyDescent="0.25">
      <c r="B28" s="1"/>
    </row>
    <row r="29" spans="2:2" x14ac:dyDescent="0.25">
      <c r="B29" s="1"/>
    </row>
    <row r="30" spans="2:2" x14ac:dyDescent="0.25">
      <c r="B30" s="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workbookViewId="0">
      <selection activeCell="B2" sqref="B2:B25"/>
    </sheetView>
  </sheetViews>
  <sheetFormatPr defaultRowHeight="15" x14ac:dyDescent="0.25"/>
  <cols>
    <col min="1" max="1" width="16" customWidth="1"/>
    <col min="2" max="2" width="16.5703125" customWidth="1"/>
  </cols>
  <sheetData>
    <row r="1" spans="1:2" x14ac:dyDescent="0.25">
      <c r="A1" t="s">
        <v>36</v>
      </c>
      <c r="B1" t="s">
        <v>38</v>
      </c>
    </row>
    <row r="2" spans="1:2" x14ac:dyDescent="0.25">
      <c r="A2">
        <v>321</v>
      </c>
      <c r="B2">
        <v>10001000</v>
      </c>
    </row>
    <row r="3" spans="1:2" x14ac:dyDescent="0.25">
      <c r="A3">
        <v>322</v>
      </c>
      <c r="B3">
        <v>10001001</v>
      </c>
    </row>
    <row r="4" spans="1:2" x14ac:dyDescent="0.25">
      <c r="A4">
        <v>323</v>
      </c>
      <c r="B4">
        <v>10001002</v>
      </c>
    </row>
    <row r="5" spans="1:2" x14ac:dyDescent="0.25">
      <c r="A5">
        <v>324</v>
      </c>
      <c r="B5">
        <v>10001003</v>
      </c>
    </row>
    <row r="6" spans="1:2" x14ac:dyDescent="0.25">
      <c r="A6">
        <v>325</v>
      </c>
      <c r="B6">
        <v>10001004</v>
      </c>
    </row>
    <row r="7" spans="1:2" x14ac:dyDescent="0.25">
      <c r="A7">
        <v>326</v>
      </c>
      <c r="B7">
        <v>10001005</v>
      </c>
    </row>
    <row r="8" spans="1:2" x14ac:dyDescent="0.25">
      <c r="A8">
        <v>327</v>
      </c>
      <c r="B8">
        <v>10001006</v>
      </c>
    </row>
    <row r="9" spans="1:2" x14ac:dyDescent="0.25">
      <c r="A9">
        <v>328</v>
      </c>
      <c r="B9">
        <v>10001007</v>
      </c>
    </row>
    <row r="10" spans="1:2" x14ac:dyDescent="0.25">
      <c r="A10">
        <v>329</v>
      </c>
      <c r="B10">
        <v>10001009</v>
      </c>
    </row>
    <row r="11" spans="1:2" x14ac:dyDescent="0.25">
      <c r="A11">
        <v>330</v>
      </c>
      <c r="B11">
        <v>10001012</v>
      </c>
    </row>
    <row r="12" spans="1:2" x14ac:dyDescent="0.25">
      <c r="A12">
        <v>331</v>
      </c>
      <c r="B12">
        <v>10001013</v>
      </c>
    </row>
    <row r="13" spans="1:2" x14ac:dyDescent="0.25">
      <c r="A13">
        <v>332</v>
      </c>
      <c r="B13">
        <v>10001014</v>
      </c>
    </row>
    <row r="14" spans="1:2" x14ac:dyDescent="0.25">
      <c r="A14">
        <v>321</v>
      </c>
      <c r="B14">
        <v>10001080</v>
      </c>
    </row>
    <row r="15" spans="1:2" x14ac:dyDescent="0.25">
      <c r="A15">
        <v>322</v>
      </c>
      <c r="B15">
        <v>10001083</v>
      </c>
    </row>
    <row r="16" spans="1:2" x14ac:dyDescent="0.25">
      <c r="A16">
        <v>323</v>
      </c>
      <c r="B16">
        <v>10001087</v>
      </c>
    </row>
    <row r="17" spans="1:2" x14ac:dyDescent="0.25">
      <c r="A17">
        <v>324</v>
      </c>
      <c r="B17">
        <v>10001090</v>
      </c>
    </row>
    <row r="18" spans="1:2" x14ac:dyDescent="0.25">
      <c r="A18">
        <v>325</v>
      </c>
      <c r="B18">
        <v>10001092</v>
      </c>
    </row>
    <row r="19" spans="1:2" x14ac:dyDescent="0.25">
      <c r="A19">
        <v>326</v>
      </c>
      <c r="B19">
        <v>10001096</v>
      </c>
    </row>
    <row r="20" spans="1:2" x14ac:dyDescent="0.25">
      <c r="A20">
        <v>327</v>
      </c>
      <c r="B20">
        <v>10001099</v>
      </c>
    </row>
    <row r="21" spans="1:2" x14ac:dyDescent="0.25">
      <c r="A21">
        <v>328</v>
      </c>
      <c r="B21">
        <v>10001100</v>
      </c>
    </row>
    <row r="22" spans="1:2" x14ac:dyDescent="0.25">
      <c r="A22">
        <v>329</v>
      </c>
      <c r="B22">
        <v>10001103</v>
      </c>
    </row>
    <row r="23" spans="1:2" x14ac:dyDescent="0.25">
      <c r="A23">
        <v>330</v>
      </c>
      <c r="B23">
        <v>10001106</v>
      </c>
    </row>
    <row r="24" spans="1:2" x14ac:dyDescent="0.25">
      <c r="A24">
        <v>331</v>
      </c>
      <c r="B24">
        <v>10001107</v>
      </c>
    </row>
    <row r="25" spans="1:2" x14ac:dyDescent="0.25">
      <c r="A25">
        <v>332</v>
      </c>
      <c r="B25">
        <v>10001110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2"/>
  <sheetViews>
    <sheetView workbookViewId="0">
      <selection activeCell="B96" sqref="A1:F152"/>
    </sheetView>
  </sheetViews>
  <sheetFormatPr defaultRowHeight="15" x14ac:dyDescent="0.25"/>
  <cols>
    <col min="1" max="1" width="17.5703125" customWidth="1"/>
    <col min="2" max="2" width="36.28515625" customWidth="1"/>
    <col min="3" max="3" width="14" customWidth="1"/>
    <col min="4" max="4" width="17.28515625" customWidth="1"/>
    <col min="5" max="5" width="14.5703125" customWidth="1"/>
    <col min="6" max="6" width="14.28515625" customWidth="1"/>
    <col min="7" max="7" width="16.5703125" customWidth="1"/>
    <col min="8" max="8" width="21.85546875" customWidth="1"/>
    <col min="9" max="9" width="20.85546875" customWidth="1"/>
  </cols>
  <sheetData>
    <row r="1" spans="1:6" x14ac:dyDescent="0.25">
      <c r="A1" t="s">
        <v>38</v>
      </c>
      <c r="B1" t="s">
        <v>39</v>
      </c>
      <c r="C1" t="s">
        <v>40</v>
      </c>
      <c r="D1" t="s">
        <v>41</v>
      </c>
      <c r="E1" t="s">
        <v>31</v>
      </c>
      <c r="F1" t="s">
        <v>6</v>
      </c>
    </row>
    <row r="2" spans="1:6" x14ac:dyDescent="0.25">
      <c r="A2">
        <v>10001000</v>
      </c>
      <c r="B2" t="s">
        <v>100</v>
      </c>
      <c r="C2">
        <v>200</v>
      </c>
      <c r="D2" t="s">
        <v>400</v>
      </c>
      <c r="E2">
        <v>90</v>
      </c>
      <c r="F2">
        <v>1110</v>
      </c>
    </row>
    <row r="3" spans="1:6" x14ac:dyDescent="0.25">
      <c r="A3">
        <v>10001001</v>
      </c>
      <c r="B3" t="s">
        <v>101</v>
      </c>
      <c r="C3">
        <v>250</v>
      </c>
      <c r="D3" t="s">
        <v>400</v>
      </c>
      <c r="E3">
        <v>91</v>
      </c>
      <c r="F3">
        <v>1110</v>
      </c>
    </row>
    <row r="4" spans="1:6" x14ac:dyDescent="0.25">
      <c r="A4">
        <v>10001002</v>
      </c>
      <c r="B4" t="s">
        <v>102</v>
      </c>
      <c r="C4">
        <v>178</v>
      </c>
      <c r="D4" t="s">
        <v>400</v>
      </c>
      <c r="E4">
        <v>92</v>
      </c>
      <c r="F4">
        <v>1110</v>
      </c>
    </row>
    <row r="5" spans="1:6" x14ac:dyDescent="0.25">
      <c r="A5">
        <v>10001003</v>
      </c>
      <c r="B5" t="s">
        <v>103</v>
      </c>
      <c r="C5">
        <v>378</v>
      </c>
      <c r="D5" t="s">
        <v>400</v>
      </c>
      <c r="E5">
        <v>93</v>
      </c>
      <c r="F5">
        <v>1111</v>
      </c>
    </row>
    <row r="6" spans="1:6" x14ac:dyDescent="0.25">
      <c r="A6">
        <v>10001004</v>
      </c>
      <c r="B6" t="s">
        <v>104</v>
      </c>
      <c r="C6">
        <v>232</v>
      </c>
      <c r="D6" t="s">
        <v>400</v>
      </c>
      <c r="E6">
        <v>94</v>
      </c>
      <c r="F6">
        <v>1111</v>
      </c>
    </row>
    <row r="7" spans="1:6" x14ac:dyDescent="0.25">
      <c r="A7">
        <v>10001005</v>
      </c>
      <c r="B7" s="10" t="s">
        <v>150</v>
      </c>
      <c r="C7">
        <v>235</v>
      </c>
      <c r="D7" t="s">
        <v>400</v>
      </c>
      <c r="E7">
        <v>95</v>
      </c>
      <c r="F7">
        <v>1110</v>
      </c>
    </row>
    <row r="8" spans="1:6" x14ac:dyDescent="0.25">
      <c r="A8">
        <v>10001006</v>
      </c>
      <c r="B8" s="10" t="s">
        <v>150</v>
      </c>
      <c r="C8">
        <v>235</v>
      </c>
      <c r="D8" t="s">
        <v>400</v>
      </c>
      <c r="E8">
        <v>95</v>
      </c>
      <c r="F8">
        <v>1119</v>
      </c>
    </row>
    <row r="9" spans="1:6" x14ac:dyDescent="0.25">
      <c r="A9">
        <v>10001007</v>
      </c>
      <c r="B9" s="10" t="s">
        <v>150</v>
      </c>
      <c r="C9">
        <v>235</v>
      </c>
      <c r="D9" t="s">
        <v>400</v>
      </c>
      <c r="E9">
        <v>95</v>
      </c>
      <c r="F9">
        <v>1115</v>
      </c>
    </row>
    <row r="10" spans="1:6" x14ac:dyDescent="0.25">
      <c r="A10">
        <v>10001008</v>
      </c>
      <c r="B10" s="10" t="s">
        <v>150</v>
      </c>
      <c r="C10">
        <v>235</v>
      </c>
      <c r="D10" t="s">
        <v>400</v>
      </c>
      <c r="E10">
        <v>95</v>
      </c>
      <c r="F10">
        <v>1114</v>
      </c>
    </row>
    <row r="11" spans="1:6" x14ac:dyDescent="0.25">
      <c r="A11">
        <v>10001009</v>
      </c>
      <c r="B11" s="10" t="s">
        <v>151</v>
      </c>
      <c r="C11">
        <f t="shared" ref="C11" ca="1" si="0">RANDBETWEEN(199, 333)</f>
        <v>274</v>
      </c>
      <c r="D11" t="s">
        <v>400</v>
      </c>
      <c r="E11">
        <v>96</v>
      </c>
      <c r="F11">
        <v>1111</v>
      </c>
    </row>
    <row r="12" spans="1:6" x14ac:dyDescent="0.25">
      <c r="A12">
        <v>10001010</v>
      </c>
      <c r="B12" t="s">
        <v>153</v>
      </c>
      <c r="C12">
        <v>349</v>
      </c>
      <c r="D12" t="s">
        <v>400</v>
      </c>
      <c r="E12">
        <v>98</v>
      </c>
      <c r="F12">
        <v>1111</v>
      </c>
    </row>
    <row r="13" spans="1:6" x14ac:dyDescent="0.25">
      <c r="A13">
        <v>10001011</v>
      </c>
      <c r="B13" t="s">
        <v>154</v>
      </c>
      <c r="C13">
        <v>239</v>
      </c>
      <c r="D13" t="s">
        <v>400</v>
      </c>
      <c r="E13">
        <v>99</v>
      </c>
      <c r="F13">
        <v>1118</v>
      </c>
    </row>
    <row r="14" spans="1:6" x14ac:dyDescent="0.25">
      <c r="A14">
        <v>10001012</v>
      </c>
      <c r="B14" t="s">
        <v>374</v>
      </c>
      <c r="C14">
        <v>259</v>
      </c>
      <c r="D14" t="s">
        <v>400</v>
      </c>
      <c r="E14">
        <v>108</v>
      </c>
      <c r="F14">
        <v>1118</v>
      </c>
    </row>
    <row r="15" spans="1:6" x14ac:dyDescent="0.25">
      <c r="A15">
        <v>10001013</v>
      </c>
      <c r="B15" t="s">
        <v>176</v>
      </c>
      <c r="C15">
        <v>299</v>
      </c>
      <c r="D15" t="s">
        <v>400</v>
      </c>
      <c r="E15">
        <v>102</v>
      </c>
      <c r="F15">
        <v>1111</v>
      </c>
    </row>
    <row r="16" spans="1:6" x14ac:dyDescent="0.25">
      <c r="A16">
        <v>10001014</v>
      </c>
      <c r="B16" t="s">
        <v>103</v>
      </c>
      <c r="C16">
        <v>244</v>
      </c>
      <c r="D16" t="s">
        <v>400</v>
      </c>
      <c r="E16">
        <v>93</v>
      </c>
      <c r="F16">
        <v>1112</v>
      </c>
    </row>
    <row r="17" spans="1:6" x14ac:dyDescent="0.25">
      <c r="A17">
        <v>10001015</v>
      </c>
      <c r="B17" t="s">
        <v>157</v>
      </c>
      <c r="C17">
        <v>250</v>
      </c>
      <c r="D17" t="s">
        <v>401</v>
      </c>
      <c r="E17">
        <v>101</v>
      </c>
      <c r="F17">
        <v>1116</v>
      </c>
    </row>
    <row r="18" spans="1:6" x14ac:dyDescent="0.25">
      <c r="A18">
        <v>10001016</v>
      </c>
      <c r="B18" t="s">
        <v>150</v>
      </c>
      <c r="C18">
        <v>247</v>
      </c>
      <c r="D18" t="s">
        <v>400</v>
      </c>
      <c r="E18">
        <v>95</v>
      </c>
      <c r="F18">
        <v>1112</v>
      </c>
    </row>
    <row r="19" spans="1:6" x14ac:dyDescent="0.25">
      <c r="A19">
        <v>10001017</v>
      </c>
      <c r="B19" t="s">
        <v>176</v>
      </c>
      <c r="C19">
        <v>299</v>
      </c>
      <c r="D19" t="s">
        <v>400</v>
      </c>
      <c r="E19">
        <v>102</v>
      </c>
      <c r="F19">
        <v>1111</v>
      </c>
    </row>
    <row r="20" spans="1:6" x14ac:dyDescent="0.25">
      <c r="A20">
        <v>10001018</v>
      </c>
      <c r="B20" t="s">
        <v>377</v>
      </c>
      <c r="C20">
        <v>293</v>
      </c>
      <c r="D20" t="s">
        <v>400</v>
      </c>
      <c r="E20">
        <v>110</v>
      </c>
      <c r="F20">
        <v>1118</v>
      </c>
    </row>
    <row r="21" spans="1:6" x14ac:dyDescent="0.25">
      <c r="A21">
        <v>10001019</v>
      </c>
      <c r="B21" t="s">
        <v>152</v>
      </c>
      <c r="C21">
        <v>306</v>
      </c>
      <c r="D21" t="s">
        <v>401</v>
      </c>
      <c r="E21">
        <v>97</v>
      </c>
      <c r="F21">
        <v>1115</v>
      </c>
    </row>
    <row r="22" spans="1:6" x14ac:dyDescent="0.25">
      <c r="A22">
        <v>10001020</v>
      </c>
      <c r="B22" t="s">
        <v>152</v>
      </c>
      <c r="C22">
        <v>306</v>
      </c>
      <c r="D22" t="s">
        <v>400</v>
      </c>
      <c r="E22">
        <v>97</v>
      </c>
      <c r="F22">
        <v>1119</v>
      </c>
    </row>
    <row r="23" spans="1:6" x14ac:dyDescent="0.25">
      <c r="A23">
        <v>10001021</v>
      </c>
      <c r="B23" t="s">
        <v>375</v>
      </c>
      <c r="C23">
        <v>324</v>
      </c>
      <c r="D23" t="s">
        <v>401</v>
      </c>
      <c r="E23">
        <v>109</v>
      </c>
      <c r="F23">
        <v>1119</v>
      </c>
    </row>
    <row r="24" spans="1:6" x14ac:dyDescent="0.25">
      <c r="A24">
        <v>10001022</v>
      </c>
      <c r="B24" t="s">
        <v>152</v>
      </c>
      <c r="C24">
        <v>306</v>
      </c>
      <c r="D24" t="s">
        <v>400</v>
      </c>
      <c r="E24">
        <v>97</v>
      </c>
      <c r="F24">
        <v>1117</v>
      </c>
    </row>
    <row r="25" spans="1:6" x14ac:dyDescent="0.25">
      <c r="A25">
        <v>10001023</v>
      </c>
      <c r="B25" t="s">
        <v>176</v>
      </c>
      <c r="C25">
        <v>299</v>
      </c>
      <c r="D25" t="s">
        <v>401</v>
      </c>
      <c r="E25">
        <v>102</v>
      </c>
      <c r="F25">
        <v>1111</v>
      </c>
    </row>
    <row r="26" spans="1:6" x14ac:dyDescent="0.25">
      <c r="A26">
        <v>10001024</v>
      </c>
      <c r="B26" t="s">
        <v>374</v>
      </c>
      <c r="C26">
        <v>259</v>
      </c>
      <c r="D26" t="s">
        <v>401</v>
      </c>
      <c r="E26">
        <v>108</v>
      </c>
      <c r="F26">
        <v>1112</v>
      </c>
    </row>
    <row r="27" spans="1:6" x14ac:dyDescent="0.25">
      <c r="A27">
        <v>10001025</v>
      </c>
      <c r="B27" t="s">
        <v>382</v>
      </c>
      <c r="C27">
        <v>260</v>
      </c>
      <c r="D27" t="s">
        <v>401</v>
      </c>
      <c r="E27">
        <v>113</v>
      </c>
      <c r="F27">
        <v>1118</v>
      </c>
    </row>
    <row r="28" spans="1:6" x14ac:dyDescent="0.25">
      <c r="A28">
        <v>10001026</v>
      </c>
      <c r="B28" t="s">
        <v>374</v>
      </c>
      <c r="C28">
        <v>259</v>
      </c>
      <c r="D28" t="s">
        <v>400</v>
      </c>
      <c r="E28">
        <v>108</v>
      </c>
      <c r="F28">
        <v>1113</v>
      </c>
    </row>
    <row r="29" spans="1:6" x14ac:dyDescent="0.25">
      <c r="A29">
        <v>10001027</v>
      </c>
      <c r="B29" t="s">
        <v>371</v>
      </c>
      <c r="C29">
        <v>280</v>
      </c>
      <c r="D29" t="s">
        <v>400</v>
      </c>
      <c r="E29">
        <v>105</v>
      </c>
      <c r="F29">
        <v>1119</v>
      </c>
    </row>
    <row r="30" spans="1:6" x14ac:dyDescent="0.25">
      <c r="A30">
        <v>10001028</v>
      </c>
      <c r="B30" t="s">
        <v>101</v>
      </c>
      <c r="C30">
        <v>286</v>
      </c>
      <c r="D30" t="s">
        <v>401</v>
      </c>
      <c r="E30">
        <v>91</v>
      </c>
      <c r="F30">
        <v>1113</v>
      </c>
    </row>
    <row r="31" spans="1:6" x14ac:dyDescent="0.25">
      <c r="A31">
        <v>10001029</v>
      </c>
      <c r="B31" t="s">
        <v>103</v>
      </c>
      <c r="C31">
        <v>244</v>
      </c>
      <c r="D31" t="s">
        <v>400</v>
      </c>
      <c r="E31">
        <v>93</v>
      </c>
      <c r="F31">
        <v>1117</v>
      </c>
    </row>
    <row r="32" spans="1:6" x14ac:dyDescent="0.25">
      <c r="A32">
        <v>10001030</v>
      </c>
      <c r="B32" t="s">
        <v>377</v>
      </c>
      <c r="C32">
        <v>293</v>
      </c>
      <c r="D32" t="s">
        <v>401</v>
      </c>
      <c r="E32">
        <v>110</v>
      </c>
      <c r="F32">
        <v>1110</v>
      </c>
    </row>
    <row r="33" spans="1:6" x14ac:dyDescent="0.25">
      <c r="A33">
        <v>10001031</v>
      </c>
      <c r="B33" t="s">
        <v>375</v>
      </c>
      <c r="C33">
        <v>324</v>
      </c>
      <c r="D33" t="s">
        <v>400</v>
      </c>
      <c r="E33">
        <v>109</v>
      </c>
      <c r="F33">
        <v>1114</v>
      </c>
    </row>
    <row r="34" spans="1:6" x14ac:dyDescent="0.25">
      <c r="A34">
        <v>10001032</v>
      </c>
      <c r="B34" t="s">
        <v>150</v>
      </c>
      <c r="C34">
        <v>247</v>
      </c>
      <c r="D34" t="s">
        <v>401</v>
      </c>
      <c r="E34">
        <v>95</v>
      </c>
      <c r="F34">
        <v>1114</v>
      </c>
    </row>
    <row r="35" spans="1:6" x14ac:dyDescent="0.25">
      <c r="A35">
        <v>10001033</v>
      </c>
      <c r="B35" t="s">
        <v>152</v>
      </c>
      <c r="C35">
        <v>306</v>
      </c>
      <c r="D35" t="s">
        <v>400</v>
      </c>
      <c r="E35">
        <v>97</v>
      </c>
      <c r="F35">
        <v>1116</v>
      </c>
    </row>
    <row r="36" spans="1:6" x14ac:dyDescent="0.25">
      <c r="A36">
        <v>10001034</v>
      </c>
      <c r="B36" t="s">
        <v>382</v>
      </c>
      <c r="C36">
        <v>260</v>
      </c>
      <c r="D36" t="s">
        <v>400</v>
      </c>
      <c r="E36">
        <v>113</v>
      </c>
      <c r="F36">
        <v>1110</v>
      </c>
    </row>
    <row r="37" spans="1:6" x14ac:dyDescent="0.25">
      <c r="A37">
        <v>10001035</v>
      </c>
      <c r="B37" t="s">
        <v>155</v>
      </c>
      <c r="C37">
        <v>266</v>
      </c>
      <c r="D37" t="s">
        <v>401</v>
      </c>
      <c r="E37">
        <v>100</v>
      </c>
      <c r="F37">
        <v>1110</v>
      </c>
    </row>
    <row r="38" spans="1:6" x14ac:dyDescent="0.25">
      <c r="A38">
        <v>10001036</v>
      </c>
      <c r="B38" t="s">
        <v>380</v>
      </c>
      <c r="C38">
        <v>312</v>
      </c>
      <c r="D38" t="s">
        <v>400</v>
      </c>
      <c r="E38">
        <v>112</v>
      </c>
      <c r="F38">
        <v>1115</v>
      </c>
    </row>
    <row r="39" spans="1:6" x14ac:dyDescent="0.25">
      <c r="A39">
        <v>10001037</v>
      </c>
      <c r="B39" t="s">
        <v>374</v>
      </c>
      <c r="C39">
        <v>259</v>
      </c>
      <c r="D39" t="s">
        <v>400</v>
      </c>
      <c r="E39">
        <v>108</v>
      </c>
      <c r="F39">
        <v>1113</v>
      </c>
    </row>
    <row r="40" spans="1:6" x14ac:dyDescent="0.25">
      <c r="A40">
        <v>10001038</v>
      </c>
      <c r="B40" t="s">
        <v>157</v>
      </c>
      <c r="C40">
        <v>250</v>
      </c>
      <c r="D40" t="s">
        <v>400</v>
      </c>
      <c r="E40">
        <v>101</v>
      </c>
      <c r="F40">
        <v>1116</v>
      </c>
    </row>
    <row r="41" spans="1:6" x14ac:dyDescent="0.25">
      <c r="A41">
        <v>10001039</v>
      </c>
      <c r="B41" t="s">
        <v>155</v>
      </c>
      <c r="C41">
        <v>266</v>
      </c>
      <c r="D41" t="s">
        <v>400</v>
      </c>
      <c r="E41">
        <v>100</v>
      </c>
      <c r="F41">
        <v>1115</v>
      </c>
    </row>
    <row r="42" spans="1:6" x14ac:dyDescent="0.25">
      <c r="A42">
        <v>10001040</v>
      </c>
      <c r="B42" t="s">
        <v>380</v>
      </c>
      <c r="C42">
        <v>312</v>
      </c>
      <c r="D42" t="s">
        <v>400</v>
      </c>
      <c r="E42">
        <v>112</v>
      </c>
      <c r="F42">
        <v>1118</v>
      </c>
    </row>
    <row r="43" spans="1:6" x14ac:dyDescent="0.25">
      <c r="A43">
        <v>10001041</v>
      </c>
      <c r="B43" t="s">
        <v>377</v>
      </c>
      <c r="C43">
        <v>293</v>
      </c>
      <c r="D43" t="s">
        <v>401</v>
      </c>
      <c r="E43">
        <v>110</v>
      </c>
      <c r="F43">
        <v>1117</v>
      </c>
    </row>
    <row r="44" spans="1:6" x14ac:dyDescent="0.25">
      <c r="A44">
        <v>10001042</v>
      </c>
      <c r="B44" t="s">
        <v>375</v>
      </c>
      <c r="C44">
        <v>324</v>
      </c>
      <c r="D44" t="s">
        <v>401</v>
      </c>
      <c r="E44">
        <v>109</v>
      </c>
      <c r="F44">
        <v>1110</v>
      </c>
    </row>
    <row r="45" spans="1:6" x14ac:dyDescent="0.25">
      <c r="A45">
        <v>10001043</v>
      </c>
      <c r="B45" t="s">
        <v>154</v>
      </c>
      <c r="C45">
        <v>239</v>
      </c>
      <c r="D45" t="s">
        <v>401</v>
      </c>
      <c r="E45">
        <v>99</v>
      </c>
      <c r="F45">
        <v>1115</v>
      </c>
    </row>
    <row r="46" spans="1:6" x14ac:dyDescent="0.25">
      <c r="A46">
        <v>10001044</v>
      </c>
      <c r="B46" t="s">
        <v>380</v>
      </c>
      <c r="C46">
        <v>312</v>
      </c>
      <c r="D46" t="s">
        <v>401</v>
      </c>
      <c r="E46">
        <v>112</v>
      </c>
      <c r="F46">
        <v>1114</v>
      </c>
    </row>
    <row r="47" spans="1:6" x14ac:dyDescent="0.25">
      <c r="A47">
        <v>10001045</v>
      </c>
      <c r="B47" t="s">
        <v>175</v>
      </c>
      <c r="C47">
        <v>344</v>
      </c>
      <c r="D47" t="s">
        <v>401</v>
      </c>
      <c r="E47">
        <v>103</v>
      </c>
      <c r="F47">
        <v>1117</v>
      </c>
    </row>
    <row r="48" spans="1:6" x14ac:dyDescent="0.25">
      <c r="A48">
        <v>10001046</v>
      </c>
      <c r="B48" t="s">
        <v>154</v>
      </c>
      <c r="C48">
        <v>239</v>
      </c>
      <c r="D48" t="s">
        <v>401</v>
      </c>
      <c r="E48">
        <v>99</v>
      </c>
      <c r="F48">
        <v>1118</v>
      </c>
    </row>
    <row r="49" spans="1:6" x14ac:dyDescent="0.25">
      <c r="A49">
        <v>10001047</v>
      </c>
      <c r="B49" t="s">
        <v>152</v>
      </c>
      <c r="C49">
        <v>306</v>
      </c>
      <c r="D49" t="s">
        <v>401</v>
      </c>
      <c r="E49">
        <v>97</v>
      </c>
      <c r="F49">
        <v>1113</v>
      </c>
    </row>
    <row r="50" spans="1:6" x14ac:dyDescent="0.25">
      <c r="A50">
        <v>10001048</v>
      </c>
      <c r="B50" t="s">
        <v>176</v>
      </c>
      <c r="C50">
        <v>299</v>
      </c>
      <c r="D50" t="s">
        <v>400</v>
      </c>
      <c r="E50">
        <v>102</v>
      </c>
      <c r="F50">
        <v>1113</v>
      </c>
    </row>
    <row r="51" spans="1:6" x14ac:dyDescent="0.25">
      <c r="A51">
        <v>10001049</v>
      </c>
      <c r="B51" t="s">
        <v>374</v>
      </c>
      <c r="C51">
        <v>259</v>
      </c>
      <c r="D51" t="s">
        <v>401</v>
      </c>
      <c r="E51">
        <v>108</v>
      </c>
      <c r="F51">
        <v>1115</v>
      </c>
    </row>
    <row r="52" spans="1:6" x14ac:dyDescent="0.25">
      <c r="A52">
        <v>10001050</v>
      </c>
      <c r="B52" t="s">
        <v>177</v>
      </c>
      <c r="C52">
        <v>276</v>
      </c>
      <c r="D52" t="s">
        <v>401</v>
      </c>
      <c r="E52">
        <v>104</v>
      </c>
      <c r="F52">
        <v>1111</v>
      </c>
    </row>
    <row r="53" spans="1:6" x14ac:dyDescent="0.25">
      <c r="A53">
        <v>10001051</v>
      </c>
      <c r="B53" t="s">
        <v>382</v>
      </c>
      <c r="C53">
        <v>260</v>
      </c>
      <c r="D53" t="s">
        <v>400</v>
      </c>
      <c r="E53">
        <v>113</v>
      </c>
      <c r="F53">
        <v>1116</v>
      </c>
    </row>
    <row r="54" spans="1:6" x14ac:dyDescent="0.25">
      <c r="A54">
        <v>10001052</v>
      </c>
      <c r="B54" t="s">
        <v>103</v>
      </c>
      <c r="C54">
        <v>244</v>
      </c>
      <c r="D54" t="s">
        <v>400</v>
      </c>
      <c r="E54">
        <v>93</v>
      </c>
      <c r="F54">
        <v>1117</v>
      </c>
    </row>
    <row r="55" spans="1:6" x14ac:dyDescent="0.25">
      <c r="A55">
        <v>10001053</v>
      </c>
      <c r="B55" t="s">
        <v>375</v>
      </c>
      <c r="C55">
        <v>324</v>
      </c>
      <c r="D55" t="s">
        <v>400</v>
      </c>
      <c r="E55">
        <v>109</v>
      </c>
      <c r="F55">
        <v>1114</v>
      </c>
    </row>
    <row r="56" spans="1:6" x14ac:dyDescent="0.25">
      <c r="A56">
        <v>10001054</v>
      </c>
      <c r="B56" t="s">
        <v>374</v>
      </c>
      <c r="C56">
        <v>259</v>
      </c>
      <c r="D56" t="s">
        <v>400</v>
      </c>
      <c r="E56">
        <v>108</v>
      </c>
      <c r="F56">
        <v>1114</v>
      </c>
    </row>
    <row r="57" spans="1:6" x14ac:dyDescent="0.25">
      <c r="A57">
        <v>10001055</v>
      </c>
      <c r="B57" t="s">
        <v>154</v>
      </c>
      <c r="C57">
        <v>239</v>
      </c>
      <c r="D57" t="s">
        <v>400</v>
      </c>
      <c r="E57">
        <v>99</v>
      </c>
      <c r="F57">
        <v>1118</v>
      </c>
    </row>
    <row r="58" spans="1:6" x14ac:dyDescent="0.25">
      <c r="A58">
        <v>10001056</v>
      </c>
      <c r="B58" t="s">
        <v>153</v>
      </c>
      <c r="C58">
        <v>349</v>
      </c>
      <c r="D58" t="s">
        <v>401</v>
      </c>
      <c r="E58">
        <v>98</v>
      </c>
      <c r="F58">
        <v>1110</v>
      </c>
    </row>
    <row r="59" spans="1:6" x14ac:dyDescent="0.25">
      <c r="A59">
        <v>10001057</v>
      </c>
      <c r="B59" t="s">
        <v>103</v>
      </c>
      <c r="C59">
        <v>244</v>
      </c>
      <c r="D59" t="s">
        <v>401</v>
      </c>
      <c r="E59">
        <v>93</v>
      </c>
      <c r="F59">
        <v>1117</v>
      </c>
    </row>
    <row r="60" spans="1:6" x14ac:dyDescent="0.25">
      <c r="A60">
        <v>10001058</v>
      </c>
      <c r="B60" t="s">
        <v>375</v>
      </c>
      <c r="C60">
        <v>324</v>
      </c>
      <c r="D60" t="s">
        <v>400</v>
      </c>
      <c r="E60">
        <v>109</v>
      </c>
      <c r="F60">
        <v>1118</v>
      </c>
    </row>
    <row r="61" spans="1:6" x14ac:dyDescent="0.25">
      <c r="A61">
        <v>10001059</v>
      </c>
      <c r="B61" t="s">
        <v>150</v>
      </c>
      <c r="C61">
        <v>247</v>
      </c>
      <c r="D61" t="s">
        <v>400</v>
      </c>
      <c r="E61">
        <v>95</v>
      </c>
      <c r="F61">
        <v>1110</v>
      </c>
    </row>
    <row r="62" spans="1:6" x14ac:dyDescent="0.25">
      <c r="A62">
        <v>10001060</v>
      </c>
      <c r="B62" t="s">
        <v>176</v>
      </c>
      <c r="C62">
        <v>299</v>
      </c>
      <c r="D62" t="s">
        <v>401</v>
      </c>
      <c r="E62">
        <v>102</v>
      </c>
      <c r="F62">
        <v>1118</v>
      </c>
    </row>
    <row r="63" spans="1:6" x14ac:dyDescent="0.25">
      <c r="A63">
        <v>10001061</v>
      </c>
      <c r="B63" t="s">
        <v>371</v>
      </c>
      <c r="C63">
        <v>280</v>
      </c>
      <c r="D63" t="s">
        <v>401</v>
      </c>
      <c r="E63">
        <v>105</v>
      </c>
      <c r="F63">
        <v>1116</v>
      </c>
    </row>
    <row r="64" spans="1:6" x14ac:dyDescent="0.25">
      <c r="A64">
        <v>10001062</v>
      </c>
      <c r="B64" t="s">
        <v>380</v>
      </c>
      <c r="C64">
        <v>312</v>
      </c>
      <c r="D64" t="s">
        <v>400</v>
      </c>
      <c r="E64">
        <v>112</v>
      </c>
      <c r="F64">
        <v>1119</v>
      </c>
    </row>
    <row r="65" spans="1:6" x14ac:dyDescent="0.25">
      <c r="A65">
        <v>10001063</v>
      </c>
      <c r="B65" t="s">
        <v>377</v>
      </c>
      <c r="C65">
        <v>293</v>
      </c>
      <c r="D65" t="s">
        <v>401</v>
      </c>
      <c r="E65">
        <v>110</v>
      </c>
      <c r="F65">
        <v>1113</v>
      </c>
    </row>
    <row r="66" spans="1:6" x14ac:dyDescent="0.25">
      <c r="A66">
        <v>10001064</v>
      </c>
      <c r="B66" t="s">
        <v>104</v>
      </c>
      <c r="C66">
        <v>301</v>
      </c>
      <c r="D66" t="s">
        <v>400</v>
      </c>
      <c r="E66">
        <v>94</v>
      </c>
      <c r="F66">
        <v>1115</v>
      </c>
    </row>
    <row r="67" spans="1:6" x14ac:dyDescent="0.25">
      <c r="A67">
        <v>10001065</v>
      </c>
      <c r="B67" t="s">
        <v>152</v>
      </c>
      <c r="C67">
        <v>306</v>
      </c>
      <c r="D67" t="s">
        <v>401</v>
      </c>
      <c r="E67">
        <v>97</v>
      </c>
      <c r="F67">
        <v>1116</v>
      </c>
    </row>
    <row r="68" spans="1:6" x14ac:dyDescent="0.25">
      <c r="A68">
        <v>10001066</v>
      </c>
      <c r="B68" t="s">
        <v>104</v>
      </c>
      <c r="C68">
        <v>301</v>
      </c>
      <c r="D68" t="s">
        <v>400</v>
      </c>
      <c r="E68">
        <v>94</v>
      </c>
      <c r="F68">
        <v>1117</v>
      </c>
    </row>
    <row r="69" spans="1:6" x14ac:dyDescent="0.25">
      <c r="A69">
        <v>10001067</v>
      </c>
      <c r="B69" t="s">
        <v>377</v>
      </c>
      <c r="C69">
        <v>293</v>
      </c>
      <c r="D69" t="s">
        <v>400</v>
      </c>
      <c r="E69">
        <v>110</v>
      </c>
      <c r="F69">
        <v>1113</v>
      </c>
    </row>
    <row r="70" spans="1:6" x14ac:dyDescent="0.25">
      <c r="A70">
        <v>10001068</v>
      </c>
      <c r="B70" t="s">
        <v>380</v>
      </c>
      <c r="C70">
        <v>312</v>
      </c>
      <c r="D70" t="s">
        <v>401</v>
      </c>
      <c r="E70">
        <v>112</v>
      </c>
      <c r="F70">
        <v>1117</v>
      </c>
    </row>
    <row r="71" spans="1:6" x14ac:dyDescent="0.25">
      <c r="A71">
        <v>10001069</v>
      </c>
      <c r="B71" t="s">
        <v>377</v>
      </c>
      <c r="C71">
        <v>293</v>
      </c>
      <c r="D71" t="s">
        <v>401</v>
      </c>
      <c r="E71">
        <v>110</v>
      </c>
      <c r="F71">
        <v>1116</v>
      </c>
    </row>
    <row r="72" spans="1:6" x14ac:dyDescent="0.25">
      <c r="A72">
        <v>10001070</v>
      </c>
      <c r="B72" t="s">
        <v>378</v>
      </c>
      <c r="C72">
        <v>281</v>
      </c>
      <c r="D72" t="s">
        <v>400</v>
      </c>
      <c r="E72">
        <v>111</v>
      </c>
      <c r="F72">
        <v>1110</v>
      </c>
    </row>
    <row r="73" spans="1:6" x14ac:dyDescent="0.25">
      <c r="A73">
        <v>10001071</v>
      </c>
      <c r="B73" t="s">
        <v>373</v>
      </c>
      <c r="C73">
        <v>279</v>
      </c>
      <c r="D73" t="s">
        <v>400</v>
      </c>
      <c r="E73">
        <v>107</v>
      </c>
      <c r="F73">
        <v>1119</v>
      </c>
    </row>
    <row r="74" spans="1:6" x14ac:dyDescent="0.25">
      <c r="A74">
        <v>10001072</v>
      </c>
      <c r="B74" t="s">
        <v>373</v>
      </c>
      <c r="C74">
        <v>279</v>
      </c>
      <c r="D74" t="s">
        <v>400</v>
      </c>
      <c r="E74">
        <v>107</v>
      </c>
      <c r="F74">
        <v>1114</v>
      </c>
    </row>
    <row r="75" spans="1:6" x14ac:dyDescent="0.25">
      <c r="A75">
        <v>10001073</v>
      </c>
      <c r="B75" t="s">
        <v>377</v>
      </c>
      <c r="C75">
        <v>293</v>
      </c>
      <c r="D75" t="s">
        <v>400</v>
      </c>
      <c r="E75">
        <v>110</v>
      </c>
      <c r="F75">
        <v>1119</v>
      </c>
    </row>
    <row r="76" spans="1:6" x14ac:dyDescent="0.25">
      <c r="A76">
        <v>10001074</v>
      </c>
      <c r="B76" t="s">
        <v>104</v>
      </c>
      <c r="C76">
        <v>301</v>
      </c>
      <c r="D76" t="s">
        <v>400</v>
      </c>
      <c r="E76">
        <v>94</v>
      </c>
      <c r="F76">
        <v>1114</v>
      </c>
    </row>
    <row r="77" spans="1:6" x14ac:dyDescent="0.25">
      <c r="A77">
        <v>10001075</v>
      </c>
      <c r="B77" t="s">
        <v>103</v>
      </c>
      <c r="C77">
        <v>244</v>
      </c>
      <c r="D77" t="s">
        <v>400</v>
      </c>
      <c r="E77">
        <v>93</v>
      </c>
      <c r="F77">
        <v>1110</v>
      </c>
    </row>
    <row r="78" spans="1:6" x14ac:dyDescent="0.25">
      <c r="A78">
        <v>10001076</v>
      </c>
      <c r="B78" t="s">
        <v>375</v>
      </c>
      <c r="C78">
        <v>324</v>
      </c>
      <c r="D78" t="s">
        <v>400</v>
      </c>
      <c r="E78">
        <v>109</v>
      </c>
      <c r="F78">
        <v>1116</v>
      </c>
    </row>
    <row r="79" spans="1:6" x14ac:dyDescent="0.25">
      <c r="A79">
        <v>10001077</v>
      </c>
      <c r="B79" t="s">
        <v>152</v>
      </c>
      <c r="C79">
        <v>306</v>
      </c>
      <c r="D79" t="s">
        <v>400</v>
      </c>
      <c r="E79">
        <v>97</v>
      </c>
      <c r="F79">
        <v>1119</v>
      </c>
    </row>
    <row r="80" spans="1:6" x14ac:dyDescent="0.25">
      <c r="A80">
        <v>10001078</v>
      </c>
      <c r="B80" t="s">
        <v>154</v>
      </c>
      <c r="C80">
        <v>239</v>
      </c>
      <c r="D80" t="s">
        <v>401</v>
      </c>
      <c r="E80">
        <v>99</v>
      </c>
      <c r="F80">
        <v>1115</v>
      </c>
    </row>
    <row r="81" spans="1:6" x14ac:dyDescent="0.25">
      <c r="A81">
        <v>10001079</v>
      </c>
      <c r="B81" t="s">
        <v>152</v>
      </c>
      <c r="C81">
        <v>306</v>
      </c>
      <c r="D81" t="s">
        <v>400</v>
      </c>
      <c r="E81">
        <v>97</v>
      </c>
      <c r="F81">
        <v>1119</v>
      </c>
    </row>
    <row r="82" spans="1:6" x14ac:dyDescent="0.25">
      <c r="A82">
        <v>10001080</v>
      </c>
      <c r="B82" t="s">
        <v>177</v>
      </c>
      <c r="C82">
        <v>276</v>
      </c>
      <c r="D82" t="s">
        <v>400</v>
      </c>
      <c r="E82">
        <v>104</v>
      </c>
      <c r="F82">
        <v>1115</v>
      </c>
    </row>
    <row r="83" spans="1:6" x14ac:dyDescent="0.25">
      <c r="A83">
        <v>10001081</v>
      </c>
      <c r="B83" t="s">
        <v>101</v>
      </c>
      <c r="C83">
        <v>286</v>
      </c>
      <c r="D83" t="s">
        <v>400</v>
      </c>
      <c r="E83">
        <v>91</v>
      </c>
      <c r="F83">
        <v>1118</v>
      </c>
    </row>
    <row r="84" spans="1:6" x14ac:dyDescent="0.25">
      <c r="A84">
        <v>10001082</v>
      </c>
      <c r="B84" t="s">
        <v>152</v>
      </c>
      <c r="C84">
        <v>306</v>
      </c>
      <c r="D84" t="s">
        <v>400</v>
      </c>
      <c r="E84">
        <v>97</v>
      </c>
      <c r="F84">
        <v>1115</v>
      </c>
    </row>
    <row r="85" spans="1:6" x14ac:dyDescent="0.25">
      <c r="A85">
        <v>10001083</v>
      </c>
      <c r="B85" t="s">
        <v>157</v>
      </c>
      <c r="C85">
        <v>250</v>
      </c>
      <c r="D85" t="s">
        <v>400</v>
      </c>
      <c r="E85">
        <v>101</v>
      </c>
      <c r="F85">
        <v>1118</v>
      </c>
    </row>
    <row r="86" spans="1:6" x14ac:dyDescent="0.25">
      <c r="A86">
        <v>10001084</v>
      </c>
      <c r="B86" t="s">
        <v>374</v>
      </c>
      <c r="C86">
        <v>259</v>
      </c>
      <c r="D86" t="s">
        <v>400</v>
      </c>
      <c r="E86">
        <v>108</v>
      </c>
      <c r="F86">
        <v>1118</v>
      </c>
    </row>
    <row r="87" spans="1:6" x14ac:dyDescent="0.25">
      <c r="A87">
        <v>10001085</v>
      </c>
      <c r="B87" t="s">
        <v>374</v>
      </c>
      <c r="C87">
        <v>259</v>
      </c>
      <c r="D87" t="s">
        <v>400</v>
      </c>
      <c r="E87">
        <v>108</v>
      </c>
      <c r="F87">
        <v>1119</v>
      </c>
    </row>
    <row r="88" spans="1:6" x14ac:dyDescent="0.25">
      <c r="A88">
        <v>10001086</v>
      </c>
      <c r="B88" t="s">
        <v>177</v>
      </c>
      <c r="C88">
        <v>276</v>
      </c>
      <c r="D88" t="s">
        <v>400</v>
      </c>
      <c r="E88">
        <v>104</v>
      </c>
      <c r="F88">
        <v>1111</v>
      </c>
    </row>
    <row r="89" spans="1:6" x14ac:dyDescent="0.25">
      <c r="A89">
        <v>10001087</v>
      </c>
      <c r="B89" t="s">
        <v>102</v>
      </c>
      <c r="C89">
        <v>248</v>
      </c>
      <c r="D89" t="s">
        <v>400</v>
      </c>
      <c r="E89">
        <v>92</v>
      </c>
      <c r="F89">
        <v>1113</v>
      </c>
    </row>
    <row r="90" spans="1:6" x14ac:dyDescent="0.25">
      <c r="A90">
        <v>10001088</v>
      </c>
      <c r="B90" t="s">
        <v>100</v>
      </c>
      <c r="C90">
        <v>274</v>
      </c>
      <c r="D90" t="s">
        <v>400</v>
      </c>
      <c r="E90">
        <v>90</v>
      </c>
      <c r="F90">
        <v>1119</v>
      </c>
    </row>
    <row r="91" spans="1:6" x14ac:dyDescent="0.25">
      <c r="A91">
        <v>10001089</v>
      </c>
      <c r="B91" t="s">
        <v>371</v>
      </c>
      <c r="C91">
        <v>280</v>
      </c>
      <c r="D91" t="s">
        <v>400</v>
      </c>
      <c r="E91">
        <v>105</v>
      </c>
      <c r="F91">
        <v>1118</v>
      </c>
    </row>
    <row r="92" spans="1:6" x14ac:dyDescent="0.25">
      <c r="A92">
        <v>10001090</v>
      </c>
      <c r="B92" t="s">
        <v>152</v>
      </c>
      <c r="C92">
        <v>306</v>
      </c>
      <c r="D92" t="s">
        <v>400</v>
      </c>
      <c r="E92">
        <v>97</v>
      </c>
      <c r="F92">
        <v>1115</v>
      </c>
    </row>
    <row r="93" spans="1:6" x14ac:dyDescent="0.25">
      <c r="A93">
        <v>10001091</v>
      </c>
      <c r="B93" t="s">
        <v>372</v>
      </c>
      <c r="C93">
        <v>279</v>
      </c>
      <c r="D93" t="s">
        <v>400</v>
      </c>
      <c r="E93">
        <v>106</v>
      </c>
      <c r="F93">
        <v>1110</v>
      </c>
    </row>
    <row r="94" spans="1:6" x14ac:dyDescent="0.25">
      <c r="A94">
        <v>10001092</v>
      </c>
      <c r="B94" t="s">
        <v>373</v>
      </c>
      <c r="C94">
        <v>279</v>
      </c>
      <c r="D94" t="s">
        <v>400</v>
      </c>
      <c r="E94">
        <v>107</v>
      </c>
      <c r="F94">
        <v>1117</v>
      </c>
    </row>
    <row r="95" spans="1:6" x14ac:dyDescent="0.25">
      <c r="A95">
        <v>10001093</v>
      </c>
      <c r="B95" t="s">
        <v>101</v>
      </c>
      <c r="C95">
        <v>286</v>
      </c>
      <c r="D95" t="s">
        <v>400</v>
      </c>
      <c r="E95">
        <v>91</v>
      </c>
      <c r="F95">
        <v>1111</v>
      </c>
    </row>
    <row r="96" spans="1:6" x14ac:dyDescent="0.25">
      <c r="A96">
        <v>10001094</v>
      </c>
      <c r="B96" t="s">
        <v>380</v>
      </c>
      <c r="C96">
        <v>312</v>
      </c>
      <c r="D96" t="s">
        <v>400</v>
      </c>
      <c r="E96">
        <v>112</v>
      </c>
      <c r="F96">
        <v>1112</v>
      </c>
    </row>
    <row r="97" spans="1:6" x14ac:dyDescent="0.25">
      <c r="A97">
        <v>10001095</v>
      </c>
      <c r="B97" t="s">
        <v>104</v>
      </c>
      <c r="C97">
        <v>301</v>
      </c>
      <c r="D97" t="s">
        <v>400</v>
      </c>
      <c r="E97">
        <v>94</v>
      </c>
      <c r="F97">
        <v>1118</v>
      </c>
    </row>
    <row r="98" spans="1:6" x14ac:dyDescent="0.25">
      <c r="A98">
        <v>10001096</v>
      </c>
      <c r="B98" t="s">
        <v>374</v>
      </c>
      <c r="C98">
        <v>259</v>
      </c>
      <c r="D98" t="s">
        <v>400</v>
      </c>
      <c r="E98">
        <v>108</v>
      </c>
      <c r="F98">
        <v>1113</v>
      </c>
    </row>
    <row r="99" spans="1:6" x14ac:dyDescent="0.25">
      <c r="A99">
        <v>10001097</v>
      </c>
      <c r="B99" t="s">
        <v>152</v>
      </c>
      <c r="C99">
        <v>306</v>
      </c>
      <c r="D99" t="s">
        <v>400</v>
      </c>
      <c r="E99">
        <v>97</v>
      </c>
      <c r="F99">
        <v>1119</v>
      </c>
    </row>
    <row r="100" spans="1:6" x14ac:dyDescent="0.25">
      <c r="A100">
        <v>10001098</v>
      </c>
      <c r="B100" t="s">
        <v>382</v>
      </c>
      <c r="C100">
        <v>260</v>
      </c>
      <c r="D100" t="s">
        <v>400</v>
      </c>
      <c r="E100">
        <v>113</v>
      </c>
      <c r="F100">
        <v>1113</v>
      </c>
    </row>
    <row r="101" spans="1:6" x14ac:dyDescent="0.25">
      <c r="A101">
        <v>10001099</v>
      </c>
      <c r="B101" t="s">
        <v>372</v>
      </c>
      <c r="C101">
        <v>279</v>
      </c>
      <c r="D101" t="s">
        <v>400</v>
      </c>
      <c r="E101">
        <v>106</v>
      </c>
      <c r="F101">
        <v>1117</v>
      </c>
    </row>
    <row r="102" spans="1:6" x14ac:dyDescent="0.25">
      <c r="A102">
        <v>10001100</v>
      </c>
      <c r="B102" t="s">
        <v>382</v>
      </c>
      <c r="C102">
        <v>260</v>
      </c>
      <c r="D102" t="s">
        <v>400</v>
      </c>
      <c r="E102">
        <v>113</v>
      </c>
      <c r="F102">
        <v>1110</v>
      </c>
    </row>
    <row r="103" spans="1:6" x14ac:dyDescent="0.25">
      <c r="A103">
        <v>10001101</v>
      </c>
      <c r="B103" t="s">
        <v>102</v>
      </c>
      <c r="C103">
        <v>248</v>
      </c>
      <c r="D103" t="s">
        <v>400</v>
      </c>
      <c r="E103">
        <v>92</v>
      </c>
      <c r="F103">
        <v>1114</v>
      </c>
    </row>
    <row r="104" spans="1:6" x14ac:dyDescent="0.25">
      <c r="A104">
        <v>10001102</v>
      </c>
      <c r="B104" t="s">
        <v>154</v>
      </c>
      <c r="C104">
        <v>239</v>
      </c>
      <c r="D104" t="s">
        <v>400</v>
      </c>
      <c r="E104">
        <v>99</v>
      </c>
      <c r="F104">
        <v>1114</v>
      </c>
    </row>
    <row r="105" spans="1:6" x14ac:dyDescent="0.25">
      <c r="A105">
        <v>10001103</v>
      </c>
      <c r="B105" t="s">
        <v>151</v>
      </c>
      <c r="C105">
        <v>307</v>
      </c>
      <c r="D105" t="s">
        <v>400</v>
      </c>
      <c r="E105">
        <v>96</v>
      </c>
      <c r="F105">
        <v>1116</v>
      </c>
    </row>
    <row r="106" spans="1:6" x14ac:dyDescent="0.25">
      <c r="A106">
        <v>10001104</v>
      </c>
      <c r="B106" t="s">
        <v>150</v>
      </c>
      <c r="C106">
        <v>247</v>
      </c>
      <c r="D106" t="s">
        <v>400</v>
      </c>
      <c r="E106">
        <v>95</v>
      </c>
      <c r="F106">
        <v>1110</v>
      </c>
    </row>
    <row r="107" spans="1:6" x14ac:dyDescent="0.25">
      <c r="A107">
        <v>10001105</v>
      </c>
      <c r="B107" t="s">
        <v>377</v>
      </c>
      <c r="C107">
        <v>293</v>
      </c>
      <c r="D107" t="s">
        <v>400</v>
      </c>
      <c r="E107">
        <v>110</v>
      </c>
      <c r="F107">
        <v>1110</v>
      </c>
    </row>
    <row r="108" spans="1:6" x14ac:dyDescent="0.25">
      <c r="A108">
        <v>10001106</v>
      </c>
      <c r="B108" t="s">
        <v>373</v>
      </c>
      <c r="C108">
        <v>279</v>
      </c>
      <c r="D108" t="s">
        <v>400</v>
      </c>
      <c r="E108">
        <v>107</v>
      </c>
      <c r="F108">
        <v>1115</v>
      </c>
    </row>
    <row r="109" spans="1:6" x14ac:dyDescent="0.25">
      <c r="A109">
        <v>10001107</v>
      </c>
      <c r="B109" t="s">
        <v>176</v>
      </c>
      <c r="C109">
        <v>299</v>
      </c>
      <c r="D109" t="s">
        <v>400</v>
      </c>
      <c r="E109">
        <v>102</v>
      </c>
      <c r="F109">
        <v>1113</v>
      </c>
    </row>
    <row r="110" spans="1:6" x14ac:dyDescent="0.25">
      <c r="A110">
        <v>10001108</v>
      </c>
      <c r="B110" t="s">
        <v>375</v>
      </c>
      <c r="C110">
        <v>324</v>
      </c>
      <c r="D110" t="s">
        <v>400</v>
      </c>
      <c r="E110">
        <v>109</v>
      </c>
      <c r="F110">
        <v>1116</v>
      </c>
    </row>
    <row r="111" spans="1:6" x14ac:dyDescent="0.25">
      <c r="A111">
        <v>10001109</v>
      </c>
      <c r="B111" t="s">
        <v>102</v>
      </c>
      <c r="C111">
        <v>248</v>
      </c>
      <c r="D111" t="s">
        <v>400</v>
      </c>
      <c r="E111">
        <v>92</v>
      </c>
      <c r="F111">
        <v>1115</v>
      </c>
    </row>
    <row r="112" spans="1:6" x14ac:dyDescent="0.25">
      <c r="A112">
        <v>10001110</v>
      </c>
      <c r="B112" t="s">
        <v>372</v>
      </c>
      <c r="C112">
        <v>279</v>
      </c>
      <c r="D112" t="s">
        <v>400</v>
      </c>
      <c r="E112">
        <v>106</v>
      </c>
      <c r="F112">
        <v>1118</v>
      </c>
    </row>
    <row r="113" spans="1:6" x14ac:dyDescent="0.25">
      <c r="A113">
        <v>10001111</v>
      </c>
      <c r="B113" t="s">
        <v>101</v>
      </c>
      <c r="C113">
        <v>286</v>
      </c>
      <c r="D113" t="s">
        <v>401</v>
      </c>
      <c r="E113">
        <v>91</v>
      </c>
      <c r="F113">
        <v>1117</v>
      </c>
    </row>
    <row r="114" spans="1:6" x14ac:dyDescent="0.25">
      <c r="A114">
        <v>10001112</v>
      </c>
      <c r="B114" t="s">
        <v>152</v>
      </c>
      <c r="C114">
        <v>306</v>
      </c>
      <c r="D114" t="s">
        <v>400</v>
      </c>
      <c r="E114">
        <v>97</v>
      </c>
      <c r="F114">
        <v>1110</v>
      </c>
    </row>
    <row r="115" spans="1:6" x14ac:dyDescent="0.25">
      <c r="A115">
        <v>10001113</v>
      </c>
      <c r="B115" t="s">
        <v>371</v>
      </c>
      <c r="C115">
        <v>280</v>
      </c>
      <c r="D115" t="s">
        <v>401</v>
      </c>
      <c r="E115">
        <v>105</v>
      </c>
      <c r="F115">
        <v>1115</v>
      </c>
    </row>
    <row r="116" spans="1:6" x14ac:dyDescent="0.25">
      <c r="A116">
        <v>10001114</v>
      </c>
      <c r="B116" t="s">
        <v>375</v>
      </c>
      <c r="C116">
        <v>324</v>
      </c>
      <c r="D116" t="s">
        <v>401</v>
      </c>
      <c r="E116">
        <v>109</v>
      </c>
      <c r="F116">
        <v>1114</v>
      </c>
    </row>
    <row r="117" spans="1:6" x14ac:dyDescent="0.25">
      <c r="A117">
        <v>10001115</v>
      </c>
      <c r="B117" t="s">
        <v>150</v>
      </c>
      <c r="C117">
        <v>247</v>
      </c>
      <c r="D117" t="s">
        <v>401</v>
      </c>
      <c r="E117">
        <v>95</v>
      </c>
      <c r="F117">
        <v>1117</v>
      </c>
    </row>
    <row r="118" spans="1:6" x14ac:dyDescent="0.25">
      <c r="A118">
        <v>10001116</v>
      </c>
      <c r="B118" t="s">
        <v>103</v>
      </c>
      <c r="C118">
        <v>244</v>
      </c>
      <c r="D118" t="s">
        <v>400</v>
      </c>
      <c r="E118">
        <v>93</v>
      </c>
      <c r="F118">
        <v>1118</v>
      </c>
    </row>
    <row r="119" spans="1:6" x14ac:dyDescent="0.25">
      <c r="A119">
        <v>10001117</v>
      </c>
      <c r="B119" t="s">
        <v>154</v>
      </c>
      <c r="C119">
        <v>239</v>
      </c>
      <c r="D119" t="s">
        <v>400</v>
      </c>
      <c r="E119">
        <v>99</v>
      </c>
      <c r="F119">
        <v>1113</v>
      </c>
    </row>
    <row r="120" spans="1:6" x14ac:dyDescent="0.25">
      <c r="A120">
        <v>10001118</v>
      </c>
      <c r="B120" t="s">
        <v>371</v>
      </c>
      <c r="C120">
        <v>280</v>
      </c>
      <c r="D120" t="s">
        <v>401</v>
      </c>
      <c r="E120">
        <v>105</v>
      </c>
      <c r="F120">
        <v>1113</v>
      </c>
    </row>
    <row r="121" spans="1:6" x14ac:dyDescent="0.25">
      <c r="A121">
        <v>10001119</v>
      </c>
      <c r="B121" t="s">
        <v>155</v>
      </c>
      <c r="C121">
        <v>266</v>
      </c>
      <c r="D121" t="s">
        <v>400</v>
      </c>
      <c r="E121">
        <v>100</v>
      </c>
      <c r="F121">
        <v>1115</v>
      </c>
    </row>
    <row r="122" spans="1:6" x14ac:dyDescent="0.25">
      <c r="A122">
        <v>10001120</v>
      </c>
      <c r="B122" t="s">
        <v>154</v>
      </c>
      <c r="C122">
        <v>239</v>
      </c>
      <c r="D122" t="s">
        <v>401</v>
      </c>
      <c r="E122">
        <v>99</v>
      </c>
      <c r="F122">
        <v>1111</v>
      </c>
    </row>
    <row r="123" spans="1:6" x14ac:dyDescent="0.25">
      <c r="A123">
        <v>10001121</v>
      </c>
      <c r="B123" t="s">
        <v>382</v>
      </c>
      <c r="C123">
        <v>260</v>
      </c>
      <c r="D123" t="s">
        <v>401</v>
      </c>
      <c r="E123">
        <v>113</v>
      </c>
      <c r="F123">
        <v>1116</v>
      </c>
    </row>
    <row r="124" spans="1:6" x14ac:dyDescent="0.25">
      <c r="A124">
        <v>10001122</v>
      </c>
      <c r="B124" t="s">
        <v>175</v>
      </c>
      <c r="C124">
        <v>344</v>
      </c>
      <c r="D124" t="s">
        <v>400</v>
      </c>
      <c r="E124">
        <v>103</v>
      </c>
      <c r="F124">
        <v>1117</v>
      </c>
    </row>
    <row r="125" spans="1:6" x14ac:dyDescent="0.25">
      <c r="A125">
        <v>10001123</v>
      </c>
      <c r="B125" t="s">
        <v>371</v>
      </c>
      <c r="C125">
        <v>280</v>
      </c>
      <c r="D125" t="s">
        <v>400</v>
      </c>
      <c r="E125">
        <v>105</v>
      </c>
      <c r="F125">
        <v>1114</v>
      </c>
    </row>
    <row r="126" spans="1:6" x14ac:dyDescent="0.25">
      <c r="A126">
        <v>10001124</v>
      </c>
      <c r="B126" t="s">
        <v>157</v>
      </c>
      <c r="C126">
        <v>250</v>
      </c>
      <c r="D126" t="s">
        <v>401</v>
      </c>
      <c r="E126">
        <v>101</v>
      </c>
      <c r="F126">
        <v>1114</v>
      </c>
    </row>
    <row r="127" spans="1:6" x14ac:dyDescent="0.25">
      <c r="A127">
        <v>10001125</v>
      </c>
      <c r="B127" t="s">
        <v>382</v>
      </c>
      <c r="C127">
        <v>260</v>
      </c>
      <c r="D127" t="s">
        <v>401</v>
      </c>
      <c r="E127">
        <v>113</v>
      </c>
      <c r="F127">
        <v>1118</v>
      </c>
    </row>
    <row r="128" spans="1:6" x14ac:dyDescent="0.25">
      <c r="A128">
        <v>10001126</v>
      </c>
      <c r="B128" t="s">
        <v>374</v>
      </c>
      <c r="C128">
        <v>259</v>
      </c>
      <c r="D128" t="s">
        <v>401</v>
      </c>
      <c r="E128">
        <v>108</v>
      </c>
      <c r="F128">
        <v>1110</v>
      </c>
    </row>
    <row r="129" spans="1:6" x14ac:dyDescent="0.25">
      <c r="A129">
        <v>10001127</v>
      </c>
      <c r="B129" t="s">
        <v>374</v>
      </c>
      <c r="C129">
        <v>259</v>
      </c>
      <c r="D129" t="s">
        <v>400</v>
      </c>
      <c r="E129">
        <v>108</v>
      </c>
      <c r="F129">
        <v>1117</v>
      </c>
    </row>
    <row r="130" spans="1:6" x14ac:dyDescent="0.25">
      <c r="A130">
        <v>10001128</v>
      </c>
      <c r="B130" t="s">
        <v>153</v>
      </c>
      <c r="C130">
        <v>349</v>
      </c>
      <c r="D130" t="s">
        <v>400</v>
      </c>
      <c r="E130">
        <v>98</v>
      </c>
      <c r="F130">
        <v>1118</v>
      </c>
    </row>
    <row r="131" spans="1:6" x14ac:dyDescent="0.25">
      <c r="A131">
        <v>10001129</v>
      </c>
      <c r="B131" t="s">
        <v>104</v>
      </c>
      <c r="C131">
        <v>301</v>
      </c>
      <c r="D131" t="s">
        <v>401</v>
      </c>
      <c r="E131">
        <v>94</v>
      </c>
      <c r="F131">
        <v>1110</v>
      </c>
    </row>
    <row r="132" spans="1:6" x14ac:dyDescent="0.25">
      <c r="A132">
        <v>10001130</v>
      </c>
      <c r="B132" t="s">
        <v>155</v>
      </c>
      <c r="C132">
        <v>266</v>
      </c>
      <c r="D132" t="s">
        <v>400</v>
      </c>
      <c r="E132">
        <v>100</v>
      </c>
      <c r="F132">
        <v>1118</v>
      </c>
    </row>
    <row r="133" spans="1:6" x14ac:dyDescent="0.25">
      <c r="A133">
        <v>10001131</v>
      </c>
      <c r="B133" t="s">
        <v>377</v>
      </c>
      <c r="C133">
        <v>293</v>
      </c>
      <c r="D133" t="s">
        <v>401</v>
      </c>
      <c r="E133">
        <v>110</v>
      </c>
      <c r="F133">
        <v>1116</v>
      </c>
    </row>
    <row r="134" spans="1:6" x14ac:dyDescent="0.25">
      <c r="A134">
        <v>10001132</v>
      </c>
      <c r="B134" t="s">
        <v>176</v>
      </c>
      <c r="C134">
        <v>299</v>
      </c>
      <c r="D134" t="s">
        <v>401</v>
      </c>
      <c r="E134">
        <v>102</v>
      </c>
      <c r="F134">
        <v>1119</v>
      </c>
    </row>
    <row r="135" spans="1:6" x14ac:dyDescent="0.25">
      <c r="A135">
        <v>10001133</v>
      </c>
      <c r="B135" t="s">
        <v>157</v>
      </c>
      <c r="C135">
        <v>250</v>
      </c>
      <c r="D135" t="s">
        <v>400</v>
      </c>
      <c r="E135">
        <v>101</v>
      </c>
      <c r="F135">
        <v>1113</v>
      </c>
    </row>
    <row r="136" spans="1:6" x14ac:dyDescent="0.25">
      <c r="A136">
        <v>10001134</v>
      </c>
      <c r="B136" t="s">
        <v>375</v>
      </c>
      <c r="C136">
        <v>324</v>
      </c>
      <c r="D136" t="s">
        <v>400</v>
      </c>
      <c r="E136">
        <v>109</v>
      </c>
      <c r="F136">
        <v>1115</v>
      </c>
    </row>
    <row r="137" spans="1:6" x14ac:dyDescent="0.25">
      <c r="A137">
        <v>10001135</v>
      </c>
      <c r="B137" t="s">
        <v>154</v>
      </c>
      <c r="C137">
        <v>239</v>
      </c>
      <c r="D137" t="s">
        <v>400</v>
      </c>
      <c r="E137">
        <v>99</v>
      </c>
      <c r="F137">
        <v>1116</v>
      </c>
    </row>
    <row r="138" spans="1:6" x14ac:dyDescent="0.25">
      <c r="A138">
        <v>10001136</v>
      </c>
      <c r="B138" t="s">
        <v>372</v>
      </c>
      <c r="C138">
        <v>279</v>
      </c>
      <c r="D138" t="s">
        <v>401</v>
      </c>
      <c r="E138">
        <v>106</v>
      </c>
      <c r="F138">
        <v>1117</v>
      </c>
    </row>
    <row r="139" spans="1:6" x14ac:dyDescent="0.25">
      <c r="A139">
        <v>10001137</v>
      </c>
      <c r="B139" t="s">
        <v>155</v>
      </c>
      <c r="C139">
        <v>266</v>
      </c>
      <c r="D139" t="s">
        <v>401</v>
      </c>
      <c r="E139">
        <v>100</v>
      </c>
      <c r="F139">
        <v>1113</v>
      </c>
    </row>
    <row r="140" spans="1:6" x14ac:dyDescent="0.25">
      <c r="A140">
        <v>10001138</v>
      </c>
      <c r="B140" t="s">
        <v>374</v>
      </c>
      <c r="C140">
        <v>259</v>
      </c>
      <c r="D140" t="s">
        <v>401</v>
      </c>
      <c r="E140">
        <v>108</v>
      </c>
      <c r="F140">
        <v>1117</v>
      </c>
    </row>
    <row r="141" spans="1:6" x14ac:dyDescent="0.25">
      <c r="A141">
        <v>10001139</v>
      </c>
      <c r="B141" t="s">
        <v>150</v>
      </c>
      <c r="C141">
        <v>247</v>
      </c>
      <c r="D141" t="s">
        <v>401</v>
      </c>
      <c r="E141">
        <v>95</v>
      </c>
      <c r="F141">
        <v>1116</v>
      </c>
    </row>
    <row r="142" spans="1:6" x14ac:dyDescent="0.25">
      <c r="A142">
        <v>10001140</v>
      </c>
      <c r="B142" t="s">
        <v>154</v>
      </c>
      <c r="C142">
        <v>239</v>
      </c>
      <c r="D142" t="s">
        <v>401</v>
      </c>
      <c r="E142">
        <v>99</v>
      </c>
      <c r="F142">
        <v>1110</v>
      </c>
    </row>
    <row r="143" spans="1:6" x14ac:dyDescent="0.25">
      <c r="A143">
        <v>10001141</v>
      </c>
      <c r="B143" t="s">
        <v>150</v>
      </c>
      <c r="C143">
        <v>247</v>
      </c>
      <c r="D143" t="s">
        <v>401</v>
      </c>
      <c r="E143">
        <v>95</v>
      </c>
      <c r="F143">
        <v>1119</v>
      </c>
    </row>
    <row r="144" spans="1:6" x14ac:dyDescent="0.25">
      <c r="A144">
        <v>10001142</v>
      </c>
      <c r="B144" t="s">
        <v>157</v>
      </c>
      <c r="C144">
        <v>250</v>
      </c>
      <c r="D144" t="s">
        <v>401</v>
      </c>
      <c r="E144">
        <v>101</v>
      </c>
      <c r="F144">
        <v>1114</v>
      </c>
    </row>
    <row r="145" spans="1:6" x14ac:dyDescent="0.25">
      <c r="A145">
        <v>10001143</v>
      </c>
      <c r="B145" t="s">
        <v>372</v>
      </c>
      <c r="C145">
        <v>279</v>
      </c>
      <c r="D145" t="s">
        <v>400</v>
      </c>
      <c r="E145">
        <v>106</v>
      </c>
      <c r="F145">
        <v>1119</v>
      </c>
    </row>
    <row r="146" spans="1:6" x14ac:dyDescent="0.25">
      <c r="A146">
        <v>10001144</v>
      </c>
      <c r="B146" t="s">
        <v>373</v>
      </c>
      <c r="C146">
        <v>279</v>
      </c>
      <c r="D146" t="s">
        <v>401</v>
      </c>
      <c r="E146">
        <v>107</v>
      </c>
      <c r="F146">
        <v>1114</v>
      </c>
    </row>
    <row r="147" spans="1:6" x14ac:dyDescent="0.25">
      <c r="A147">
        <v>10001145</v>
      </c>
      <c r="B147" t="s">
        <v>152</v>
      </c>
      <c r="C147">
        <v>306</v>
      </c>
      <c r="D147" t="s">
        <v>401</v>
      </c>
      <c r="E147">
        <v>97</v>
      </c>
      <c r="F147">
        <v>1110</v>
      </c>
    </row>
    <row r="148" spans="1:6" x14ac:dyDescent="0.25">
      <c r="A148">
        <v>10001146</v>
      </c>
      <c r="B148" t="s">
        <v>102</v>
      </c>
      <c r="C148">
        <v>248</v>
      </c>
      <c r="D148" t="s">
        <v>401</v>
      </c>
      <c r="E148">
        <v>92</v>
      </c>
      <c r="F148">
        <v>1116</v>
      </c>
    </row>
    <row r="149" spans="1:6" x14ac:dyDescent="0.25">
      <c r="A149">
        <v>10001147</v>
      </c>
      <c r="B149" t="s">
        <v>150</v>
      </c>
      <c r="C149">
        <v>247</v>
      </c>
      <c r="D149" t="s">
        <v>401</v>
      </c>
      <c r="E149">
        <v>95</v>
      </c>
      <c r="F149">
        <v>1119</v>
      </c>
    </row>
    <row r="150" spans="1:6" x14ac:dyDescent="0.25">
      <c r="A150">
        <v>10001148</v>
      </c>
      <c r="B150" t="s">
        <v>154</v>
      </c>
      <c r="C150">
        <v>239</v>
      </c>
      <c r="D150" t="s">
        <v>400</v>
      </c>
      <c r="E150">
        <v>99</v>
      </c>
      <c r="F150">
        <v>1115</v>
      </c>
    </row>
    <row r="151" spans="1:6" x14ac:dyDescent="0.25">
      <c r="A151">
        <v>10001149</v>
      </c>
      <c r="B151" t="s">
        <v>175</v>
      </c>
      <c r="C151">
        <v>344</v>
      </c>
      <c r="D151" t="s">
        <v>400</v>
      </c>
      <c r="E151">
        <v>103</v>
      </c>
      <c r="F151">
        <v>1119</v>
      </c>
    </row>
    <row r="152" spans="1:6" x14ac:dyDescent="0.25">
      <c r="A152">
        <v>10001150</v>
      </c>
      <c r="B152" t="s">
        <v>375</v>
      </c>
      <c r="C152">
        <v>324</v>
      </c>
      <c r="D152" t="s">
        <v>401</v>
      </c>
      <c r="E152">
        <v>109</v>
      </c>
      <c r="F152">
        <v>1115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12" sqref="E2:E12"/>
    </sheetView>
  </sheetViews>
  <sheetFormatPr defaultRowHeight="15" x14ac:dyDescent="0.25"/>
  <cols>
    <col min="1" max="1" width="28.85546875" customWidth="1"/>
    <col min="2" max="2" width="20.5703125" customWidth="1"/>
    <col min="3" max="4" width="16.28515625" customWidth="1"/>
    <col min="5" max="5" width="14.5703125" customWidth="1"/>
  </cols>
  <sheetData>
    <row r="1" spans="1:5" x14ac:dyDescent="0.25">
      <c r="A1" t="s">
        <v>42</v>
      </c>
      <c r="B1" t="s">
        <v>43</v>
      </c>
      <c r="C1" t="s">
        <v>44</v>
      </c>
      <c r="D1" t="s">
        <v>45</v>
      </c>
      <c r="E1" t="s">
        <v>9</v>
      </c>
    </row>
    <row r="2" spans="1:5" x14ac:dyDescent="0.25">
      <c r="A2">
        <v>101</v>
      </c>
      <c r="B2" s="1">
        <v>43891</v>
      </c>
      <c r="C2">
        <v>405</v>
      </c>
      <c r="D2">
        <v>378</v>
      </c>
      <c r="E2">
        <v>221</v>
      </c>
    </row>
    <row r="3" spans="1:5" x14ac:dyDescent="0.25">
      <c r="A3">
        <v>102</v>
      </c>
      <c r="B3" s="1">
        <v>43892</v>
      </c>
      <c r="C3">
        <v>500</v>
      </c>
      <c r="D3">
        <v>398</v>
      </c>
      <c r="E3">
        <v>222</v>
      </c>
    </row>
    <row r="4" spans="1:5" x14ac:dyDescent="0.25">
      <c r="A4">
        <v>103</v>
      </c>
      <c r="B4" s="1">
        <v>43891</v>
      </c>
      <c r="C4">
        <v>199</v>
      </c>
      <c r="D4">
        <v>145</v>
      </c>
      <c r="E4">
        <v>331</v>
      </c>
    </row>
    <row r="5" spans="1:5" x14ac:dyDescent="0.25">
      <c r="A5">
        <v>104</v>
      </c>
      <c r="B5" s="1">
        <v>43898</v>
      </c>
      <c r="C5">
        <v>490</v>
      </c>
      <c r="D5">
        <v>400</v>
      </c>
      <c r="E5">
        <v>332</v>
      </c>
    </row>
    <row r="6" spans="1:5" x14ac:dyDescent="0.25">
      <c r="A6">
        <v>105</v>
      </c>
      <c r="B6" s="1">
        <v>43891</v>
      </c>
      <c r="C6">
        <v>700</v>
      </c>
      <c r="D6">
        <v>604</v>
      </c>
      <c r="E6">
        <v>433</v>
      </c>
    </row>
    <row r="7" spans="1:5" x14ac:dyDescent="0.25">
      <c r="A7">
        <v>106</v>
      </c>
      <c r="B7" s="1">
        <f ca="1">RANDBETWEEN(DATE(2020,2,1),DATE(2020,2,31))</f>
        <v>43878</v>
      </c>
      <c r="C7">
        <f t="shared" ref="C7:C13" ca="1" si="0">RANDBETWEEN(200,300)</f>
        <v>220</v>
      </c>
      <c r="D7">
        <f ca="1">RANDBETWEEN(200,300)</f>
        <v>272</v>
      </c>
      <c r="E7">
        <v>1</v>
      </c>
    </row>
    <row r="8" spans="1:5" x14ac:dyDescent="0.25">
      <c r="A8">
        <v>107</v>
      </c>
      <c r="B8" s="1">
        <f t="shared" ref="B8:B14" ca="1" si="1">RANDBETWEEN(DATE(2020,2,1),DATE(2020,2,31))</f>
        <v>43877</v>
      </c>
      <c r="C8">
        <f t="shared" ca="1" si="0"/>
        <v>222</v>
      </c>
      <c r="D8">
        <f t="shared" ref="D8:D14" ca="1" si="2">RANDBETWEEN(200,300)</f>
        <v>279</v>
      </c>
      <c r="E8">
        <v>2</v>
      </c>
    </row>
    <row r="9" spans="1:5" x14ac:dyDescent="0.25">
      <c r="A9">
        <v>108</v>
      </c>
      <c r="B9" s="1">
        <f t="shared" ca="1" si="1"/>
        <v>43865</v>
      </c>
      <c r="C9">
        <f t="shared" ca="1" si="0"/>
        <v>223</v>
      </c>
      <c r="D9">
        <f t="shared" ca="1" si="2"/>
        <v>259</v>
      </c>
      <c r="E9">
        <v>3</v>
      </c>
    </row>
    <row r="10" spans="1:5" x14ac:dyDescent="0.25">
      <c r="A10">
        <v>109</v>
      </c>
      <c r="B10" s="1">
        <f t="shared" ca="1" si="1"/>
        <v>43862</v>
      </c>
      <c r="C10">
        <f t="shared" ca="1" si="0"/>
        <v>284</v>
      </c>
      <c r="D10">
        <f t="shared" ca="1" si="2"/>
        <v>285</v>
      </c>
      <c r="E10">
        <v>4</v>
      </c>
    </row>
    <row r="11" spans="1:5" x14ac:dyDescent="0.25">
      <c r="A11">
        <v>110</v>
      </c>
      <c r="B11" s="1">
        <f t="shared" ca="1" si="1"/>
        <v>43882</v>
      </c>
      <c r="C11">
        <f t="shared" ca="1" si="0"/>
        <v>294</v>
      </c>
      <c r="D11">
        <f t="shared" ca="1" si="2"/>
        <v>212</v>
      </c>
      <c r="E11">
        <v>5</v>
      </c>
    </row>
    <row r="12" spans="1:5" x14ac:dyDescent="0.25">
      <c r="A12">
        <v>111</v>
      </c>
      <c r="B12" s="1">
        <f t="shared" ca="1" si="1"/>
        <v>43877</v>
      </c>
      <c r="C12">
        <f t="shared" ca="1" si="0"/>
        <v>219</v>
      </c>
      <c r="D12">
        <f t="shared" ca="1" si="2"/>
        <v>290</v>
      </c>
      <c r="E12">
        <v>5</v>
      </c>
    </row>
    <row r="13" spans="1:5" x14ac:dyDescent="0.25">
      <c r="A13">
        <v>112</v>
      </c>
      <c r="B13" s="1">
        <f t="shared" ca="1" si="1"/>
        <v>43872</v>
      </c>
      <c r="C13">
        <f t="shared" ca="1" si="0"/>
        <v>280</v>
      </c>
      <c r="D13">
        <f t="shared" ca="1" si="2"/>
        <v>263</v>
      </c>
      <c r="E13">
        <v>5</v>
      </c>
    </row>
    <row r="14" spans="1:5" x14ac:dyDescent="0.25">
      <c r="A14">
        <v>113</v>
      </c>
      <c r="B14" s="1">
        <f t="shared" ca="1" si="1"/>
        <v>43862</v>
      </c>
      <c r="C14">
        <f ca="1">RANDBETWEEN(200,300)</f>
        <v>299</v>
      </c>
      <c r="D14">
        <f t="shared" ca="1" si="2"/>
        <v>226</v>
      </c>
      <c r="E14">
        <v>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workbookViewId="0">
      <selection activeCell="A2" sqref="A2:A20"/>
    </sheetView>
  </sheetViews>
  <sheetFormatPr defaultRowHeight="15" x14ac:dyDescent="0.25"/>
  <cols>
    <col min="1" max="1" width="19.28515625" style="8" customWidth="1"/>
    <col min="2" max="2" width="27.5703125" style="8" customWidth="1"/>
    <col min="3" max="3" width="12.28515625" style="8" customWidth="1"/>
    <col min="4" max="16384" width="9.140625" style="8"/>
  </cols>
  <sheetData>
    <row r="1" spans="1:3" x14ac:dyDescent="0.25">
      <c r="A1" s="8" t="s">
        <v>46</v>
      </c>
      <c r="B1" s="8" t="s">
        <v>47</v>
      </c>
      <c r="C1" s="8" t="s">
        <v>9</v>
      </c>
    </row>
    <row r="2" spans="1:3" x14ac:dyDescent="0.25">
      <c r="A2" s="8">
        <v>2201</v>
      </c>
      <c r="B2" s="8" t="s">
        <v>108</v>
      </c>
      <c r="C2" s="8">
        <v>221</v>
      </c>
    </row>
    <row r="3" spans="1:3" x14ac:dyDescent="0.25">
      <c r="A3" s="8">
        <v>2202</v>
      </c>
      <c r="B3" s="8" t="s">
        <v>109</v>
      </c>
      <c r="C3" s="8">
        <v>222</v>
      </c>
    </row>
    <row r="4" spans="1:3" x14ac:dyDescent="0.25">
      <c r="A4" s="8">
        <v>2203</v>
      </c>
      <c r="B4" s="8" t="s">
        <v>110</v>
      </c>
      <c r="C4" s="8">
        <v>331</v>
      </c>
    </row>
    <row r="5" spans="1:3" x14ac:dyDescent="0.25">
      <c r="A5" s="8">
        <v>2204</v>
      </c>
      <c r="B5" s="8" t="s">
        <v>111</v>
      </c>
      <c r="C5" s="8">
        <v>332</v>
      </c>
    </row>
    <row r="6" spans="1:3" x14ac:dyDescent="0.25">
      <c r="A6" s="8">
        <v>2205</v>
      </c>
      <c r="B6" s="8" t="s">
        <v>112</v>
      </c>
      <c r="C6" s="8">
        <v>433</v>
      </c>
    </row>
    <row r="7" spans="1:3" x14ac:dyDescent="0.25">
      <c r="A7" s="8">
        <v>2206</v>
      </c>
      <c r="B7" s="16" t="s">
        <v>215</v>
      </c>
      <c r="C7" s="8">
        <v>221</v>
      </c>
    </row>
    <row r="8" spans="1:3" x14ac:dyDescent="0.25">
      <c r="A8" s="8">
        <v>2207</v>
      </c>
      <c r="B8" s="16" t="s">
        <v>216</v>
      </c>
      <c r="C8" s="8">
        <v>222</v>
      </c>
    </row>
    <row r="9" spans="1:3" x14ac:dyDescent="0.25">
      <c r="A9" s="8">
        <v>2208</v>
      </c>
      <c r="B9" s="16" t="s">
        <v>217</v>
      </c>
      <c r="C9" s="8">
        <v>331</v>
      </c>
    </row>
    <row r="10" spans="1:3" x14ac:dyDescent="0.25">
      <c r="A10" s="8">
        <v>2209</v>
      </c>
      <c r="B10" s="16" t="s">
        <v>218</v>
      </c>
      <c r="C10" s="8">
        <v>332</v>
      </c>
    </row>
    <row r="11" spans="1:3" x14ac:dyDescent="0.25">
      <c r="A11" s="8">
        <v>2210</v>
      </c>
      <c r="B11" s="16" t="s">
        <v>219</v>
      </c>
      <c r="C11" s="8">
        <v>433</v>
      </c>
    </row>
    <row r="12" spans="1:3" x14ac:dyDescent="0.25">
      <c r="A12" s="8">
        <v>2211</v>
      </c>
      <c r="B12" s="16" t="s">
        <v>220</v>
      </c>
      <c r="C12" s="8">
        <v>221</v>
      </c>
    </row>
    <row r="13" spans="1:3" x14ac:dyDescent="0.25">
      <c r="A13" s="8">
        <v>2212</v>
      </c>
      <c r="B13" s="16" t="s">
        <v>221</v>
      </c>
      <c r="C13" s="8">
        <v>332</v>
      </c>
    </row>
    <row r="14" spans="1:3" x14ac:dyDescent="0.25">
      <c r="A14" s="8">
        <v>2213</v>
      </c>
      <c r="B14" s="16" t="s">
        <v>222</v>
      </c>
      <c r="C14" s="8">
        <v>222</v>
      </c>
    </row>
    <row r="15" spans="1:3" x14ac:dyDescent="0.25">
      <c r="A15" s="8">
        <v>2214</v>
      </c>
      <c r="B15" s="16" t="s">
        <v>223</v>
      </c>
      <c r="C15" s="8">
        <v>221</v>
      </c>
    </row>
    <row r="16" spans="1:3" x14ac:dyDescent="0.25">
      <c r="A16" s="8">
        <v>2215</v>
      </c>
      <c r="B16" s="16" t="s">
        <v>224</v>
      </c>
      <c r="C16" s="8">
        <v>221</v>
      </c>
    </row>
    <row r="17" spans="1:3" x14ac:dyDescent="0.25">
      <c r="A17" s="8">
        <v>2216</v>
      </c>
      <c r="B17" s="16" t="s">
        <v>225</v>
      </c>
      <c r="C17" s="8">
        <v>222</v>
      </c>
    </row>
    <row r="18" spans="1:3" x14ac:dyDescent="0.25">
      <c r="A18" s="8">
        <v>2217</v>
      </c>
      <c r="B18" s="16" t="s">
        <v>226</v>
      </c>
      <c r="C18" s="8">
        <v>331</v>
      </c>
    </row>
    <row r="19" spans="1:3" x14ac:dyDescent="0.25">
      <c r="A19" s="8">
        <v>2218</v>
      </c>
      <c r="B19" s="16" t="s">
        <v>227</v>
      </c>
      <c r="C19" s="8">
        <v>332</v>
      </c>
    </row>
    <row r="20" spans="1:3" x14ac:dyDescent="0.25">
      <c r="A20" s="8">
        <v>2219</v>
      </c>
      <c r="B20" s="16" t="s">
        <v>228</v>
      </c>
      <c r="C20" s="8">
        <v>433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8"/>
  <sheetViews>
    <sheetView workbookViewId="0">
      <selection activeCell="B46" sqref="B2:B46"/>
    </sheetView>
  </sheetViews>
  <sheetFormatPr defaultRowHeight="15" x14ac:dyDescent="0.25"/>
  <cols>
    <col min="1" max="1" width="15.140625" customWidth="1"/>
    <col min="2" max="2" width="23.85546875" customWidth="1"/>
  </cols>
  <sheetData>
    <row r="1" spans="1:2" x14ac:dyDescent="0.25">
      <c r="A1" t="s">
        <v>33</v>
      </c>
      <c r="B1" t="s">
        <v>46</v>
      </c>
    </row>
    <row r="2" spans="1:2" x14ac:dyDescent="0.25">
      <c r="A2">
        <v>122</v>
      </c>
      <c r="B2" s="8">
        <v>2201</v>
      </c>
    </row>
    <row r="3" spans="1:2" x14ac:dyDescent="0.25">
      <c r="A3">
        <v>123</v>
      </c>
      <c r="B3" s="8">
        <v>2202</v>
      </c>
    </row>
    <row r="4" spans="1:2" x14ac:dyDescent="0.25">
      <c r="A4">
        <v>124</v>
      </c>
      <c r="B4" s="8">
        <v>2203</v>
      </c>
    </row>
    <row r="5" spans="1:2" x14ac:dyDescent="0.25">
      <c r="A5">
        <v>125</v>
      </c>
      <c r="B5" s="8">
        <v>2204</v>
      </c>
    </row>
    <row r="6" spans="1:2" x14ac:dyDescent="0.25">
      <c r="A6">
        <v>126</v>
      </c>
      <c r="B6" s="8">
        <v>2205</v>
      </c>
    </row>
    <row r="7" spans="1:2" x14ac:dyDescent="0.25">
      <c r="A7">
        <v>127</v>
      </c>
      <c r="B7" s="8">
        <v>2206</v>
      </c>
    </row>
    <row r="8" spans="1:2" x14ac:dyDescent="0.25">
      <c r="A8">
        <v>128</v>
      </c>
      <c r="B8" s="8">
        <v>2207</v>
      </c>
    </row>
    <row r="9" spans="1:2" x14ac:dyDescent="0.25">
      <c r="A9">
        <v>129</v>
      </c>
      <c r="B9" s="8">
        <v>2208</v>
      </c>
    </row>
    <row r="10" spans="1:2" x14ac:dyDescent="0.25">
      <c r="A10">
        <v>130</v>
      </c>
      <c r="B10" s="8">
        <v>2209</v>
      </c>
    </row>
    <row r="11" spans="1:2" x14ac:dyDescent="0.25">
      <c r="A11">
        <v>131</v>
      </c>
      <c r="B11" s="8">
        <v>2210</v>
      </c>
    </row>
    <row r="12" spans="1:2" x14ac:dyDescent="0.25">
      <c r="A12">
        <v>132</v>
      </c>
      <c r="B12" s="8">
        <v>2211</v>
      </c>
    </row>
    <row r="13" spans="1:2" x14ac:dyDescent="0.25">
      <c r="A13">
        <v>133</v>
      </c>
      <c r="B13" s="8">
        <v>2212</v>
      </c>
    </row>
    <row r="14" spans="1:2" x14ac:dyDescent="0.25">
      <c r="A14">
        <v>134</v>
      </c>
      <c r="B14" s="8">
        <v>2213</v>
      </c>
    </row>
    <row r="15" spans="1:2" x14ac:dyDescent="0.25">
      <c r="A15">
        <v>135</v>
      </c>
      <c r="B15" s="8">
        <v>2214</v>
      </c>
    </row>
    <row r="16" spans="1:2" x14ac:dyDescent="0.25">
      <c r="A16">
        <v>136</v>
      </c>
      <c r="B16" s="8">
        <v>2215</v>
      </c>
    </row>
    <row r="17" spans="1:2" x14ac:dyDescent="0.25">
      <c r="A17">
        <v>137</v>
      </c>
      <c r="B17" s="8">
        <v>2216</v>
      </c>
    </row>
    <row r="18" spans="1:2" x14ac:dyDescent="0.25">
      <c r="A18">
        <v>138</v>
      </c>
      <c r="B18" s="8">
        <v>2217</v>
      </c>
    </row>
    <row r="19" spans="1:2" x14ac:dyDescent="0.25">
      <c r="A19">
        <v>139</v>
      </c>
      <c r="B19" s="8">
        <v>2218</v>
      </c>
    </row>
    <row r="20" spans="1:2" x14ac:dyDescent="0.25">
      <c r="A20">
        <v>140</v>
      </c>
      <c r="B20" s="8">
        <v>2219</v>
      </c>
    </row>
    <row r="21" spans="1:2" x14ac:dyDescent="0.25">
      <c r="A21">
        <v>141</v>
      </c>
      <c r="B21" s="8">
        <v>2201</v>
      </c>
    </row>
    <row r="22" spans="1:2" x14ac:dyDescent="0.25">
      <c r="A22">
        <v>142</v>
      </c>
      <c r="B22" s="8">
        <v>2202</v>
      </c>
    </row>
    <row r="23" spans="1:2" x14ac:dyDescent="0.25">
      <c r="A23">
        <v>143</v>
      </c>
      <c r="B23" s="8">
        <v>2203</v>
      </c>
    </row>
    <row r="24" spans="1:2" x14ac:dyDescent="0.25">
      <c r="A24">
        <v>144</v>
      </c>
      <c r="B24" s="8">
        <v>2204</v>
      </c>
    </row>
    <row r="25" spans="1:2" x14ac:dyDescent="0.25">
      <c r="A25">
        <v>145</v>
      </c>
      <c r="B25" s="8">
        <v>2205</v>
      </c>
    </row>
    <row r="26" spans="1:2" x14ac:dyDescent="0.25">
      <c r="A26">
        <v>146</v>
      </c>
      <c r="B26" s="8">
        <v>2206</v>
      </c>
    </row>
    <row r="27" spans="1:2" x14ac:dyDescent="0.25">
      <c r="A27">
        <v>147</v>
      </c>
      <c r="B27" s="8">
        <v>2207</v>
      </c>
    </row>
    <row r="28" spans="1:2" x14ac:dyDescent="0.25">
      <c r="A28">
        <v>148</v>
      </c>
      <c r="B28" s="8">
        <v>2208</v>
      </c>
    </row>
    <row r="29" spans="1:2" x14ac:dyDescent="0.25">
      <c r="A29">
        <v>149</v>
      </c>
      <c r="B29" s="8">
        <v>2209</v>
      </c>
    </row>
    <row r="30" spans="1:2" x14ac:dyDescent="0.25">
      <c r="A30">
        <v>150</v>
      </c>
      <c r="B30" s="8">
        <v>2210</v>
      </c>
    </row>
    <row r="31" spans="1:2" x14ac:dyDescent="0.25">
      <c r="A31">
        <v>151</v>
      </c>
      <c r="B31" s="8">
        <v>2211</v>
      </c>
    </row>
    <row r="32" spans="1:2" x14ac:dyDescent="0.25">
      <c r="A32">
        <v>152</v>
      </c>
      <c r="B32" s="8">
        <v>2212</v>
      </c>
    </row>
    <row r="33" spans="1:2" x14ac:dyDescent="0.25">
      <c r="A33">
        <v>153</v>
      </c>
      <c r="B33" s="8">
        <v>2213</v>
      </c>
    </row>
    <row r="34" spans="1:2" x14ac:dyDescent="0.25">
      <c r="A34">
        <v>154</v>
      </c>
      <c r="B34" s="8">
        <v>2214</v>
      </c>
    </row>
    <row r="35" spans="1:2" x14ac:dyDescent="0.25">
      <c r="A35">
        <v>155</v>
      </c>
      <c r="B35" s="8">
        <v>2215</v>
      </c>
    </row>
    <row r="36" spans="1:2" x14ac:dyDescent="0.25">
      <c r="A36">
        <v>156</v>
      </c>
      <c r="B36" s="8">
        <v>2216</v>
      </c>
    </row>
    <row r="37" spans="1:2" x14ac:dyDescent="0.25">
      <c r="A37">
        <v>157</v>
      </c>
      <c r="B37" s="8">
        <v>2217</v>
      </c>
    </row>
    <row r="38" spans="1:2" x14ac:dyDescent="0.25">
      <c r="A38">
        <v>158</v>
      </c>
      <c r="B38" s="8">
        <v>2218</v>
      </c>
    </row>
    <row r="39" spans="1:2" x14ac:dyDescent="0.25">
      <c r="A39">
        <v>159</v>
      </c>
      <c r="B39" s="8">
        <v>2219</v>
      </c>
    </row>
    <row r="40" spans="1:2" x14ac:dyDescent="0.25">
      <c r="A40">
        <v>160</v>
      </c>
      <c r="B40" s="8">
        <v>2201</v>
      </c>
    </row>
    <row r="41" spans="1:2" x14ac:dyDescent="0.25">
      <c r="A41">
        <v>161</v>
      </c>
      <c r="B41" s="8">
        <v>2202</v>
      </c>
    </row>
    <row r="42" spans="1:2" x14ac:dyDescent="0.25">
      <c r="A42">
        <v>157</v>
      </c>
      <c r="B42" s="8">
        <v>2203</v>
      </c>
    </row>
    <row r="43" spans="1:2" x14ac:dyDescent="0.25">
      <c r="A43">
        <v>158</v>
      </c>
      <c r="B43" s="8">
        <v>2204</v>
      </c>
    </row>
    <row r="44" spans="1:2" x14ac:dyDescent="0.25">
      <c r="A44">
        <v>159</v>
      </c>
      <c r="B44" s="8">
        <v>2205</v>
      </c>
    </row>
    <row r="45" spans="1:2" x14ac:dyDescent="0.25">
      <c r="A45">
        <v>160</v>
      </c>
      <c r="B45" s="8">
        <v>2206</v>
      </c>
    </row>
    <row r="46" spans="1:2" x14ac:dyDescent="0.25">
      <c r="A46">
        <v>161</v>
      </c>
      <c r="B46" s="8">
        <v>2207</v>
      </c>
    </row>
    <row r="47" spans="1:2" x14ac:dyDescent="0.25">
      <c r="B47" s="8"/>
    </row>
    <row r="48" spans="1:2" x14ac:dyDescent="0.25">
      <c r="B48" s="8"/>
    </row>
    <row r="49" spans="2:2" x14ac:dyDescent="0.25">
      <c r="B49" s="8"/>
    </row>
    <row r="50" spans="2:2" x14ac:dyDescent="0.25">
      <c r="B50" s="8"/>
    </row>
    <row r="51" spans="2:2" x14ac:dyDescent="0.25">
      <c r="B51" s="8"/>
    </row>
    <row r="52" spans="2:2" x14ac:dyDescent="0.25">
      <c r="B52" s="8"/>
    </row>
    <row r="53" spans="2:2" x14ac:dyDescent="0.25">
      <c r="B53" s="8"/>
    </row>
    <row r="54" spans="2:2" x14ac:dyDescent="0.25">
      <c r="B54" s="8"/>
    </row>
    <row r="55" spans="2:2" x14ac:dyDescent="0.25">
      <c r="B55" s="8"/>
    </row>
    <row r="56" spans="2:2" x14ac:dyDescent="0.25">
      <c r="B56" s="8"/>
    </row>
    <row r="57" spans="2:2" x14ac:dyDescent="0.25">
      <c r="B57" s="8"/>
    </row>
    <row r="58" spans="2:2" x14ac:dyDescent="0.25">
      <c r="B58" s="8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1"/>
  <sheetViews>
    <sheetView tabSelected="1" topLeftCell="A9" workbookViewId="0">
      <selection activeCell="A14" sqref="A14:B30"/>
    </sheetView>
  </sheetViews>
  <sheetFormatPr defaultRowHeight="15" x14ac:dyDescent="0.25"/>
  <cols>
    <col min="1" max="1" width="18.140625" customWidth="1"/>
    <col min="2" max="2" width="22.42578125" customWidth="1"/>
  </cols>
  <sheetData>
    <row r="1" spans="1:2" x14ac:dyDescent="0.25">
      <c r="A1" t="s">
        <v>36</v>
      </c>
      <c r="B1" t="s">
        <v>46</v>
      </c>
    </row>
    <row r="2" spans="1:2" x14ac:dyDescent="0.25">
      <c r="A2">
        <v>321</v>
      </c>
      <c r="B2">
        <v>2201</v>
      </c>
    </row>
    <row r="3" spans="1:2" x14ac:dyDescent="0.25">
      <c r="A3">
        <v>322</v>
      </c>
      <c r="B3">
        <v>2202</v>
      </c>
    </row>
    <row r="4" spans="1:2" x14ac:dyDescent="0.25">
      <c r="A4">
        <v>323</v>
      </c>
      <c r="B4">
        <v>2203</v>
      </c>
    </row>
    <row r="5" spans="1:2" x14ac:dyDescent="0.25">
      <c r="A5">
        <v>324</v>
      </c>
      <c r="B5">
        <v>2204</v>
      </c>
    </row>
    <row r="6" spans="1:2" x14ac:dyDescent="0.25">
      <c r="A6">
        <v>325</v>
      </c>
      <c r="B6">
        <v>2205</v>
      </c>
    </row>
    <row r="7" spans="1:2" x14ac:dyDescent="0.25">
      <c r="A7">
        <v>326</v>
      </c>
      <c r="B7" s="8">
        <v>2201</v>
      </c>
    </row>
    <row r="8" spans="1:2" x14ac:dyDescent="0.25">
      <c r="A8">
        <v>327</v>
      </c>
      <c r="B8" s="8">
        <v>2202</v>
      </c>
    </row>
    <row r="9" spans="1:2" x14ac:dyDescent="0.25">
      <c r="A9">
        <v>328</v>
      </c>
      <c r="B9" s="8">
        <v>2203</v>
      </c>
    </row>
    <row r="10" spans="1:2" x14ac:dyDescent="0.25">
      <c r="A10">
        <v>329</v>
      </c>
      <c r="B10" s="8">
        <v>2204</v>
      </c>
    </row>
    <row r="11" spans="1:2" x14ac:dyDescent="0.25">
      <c r="A11">
        <v>330</v>
      </c>
      <c r="B11" s="8">
        <v>2205</v>
      </c>
    </row>
    <row r="12" spans="1:2" x14ac:dyDescent="0.25">
      <c r="A12">
        <v>331</v>
      </c>
      <c r="B12" s="8">
        <v>2206</v>
      </c>
    </row>
    <row r="13" spans="1:2" x14ac:dyDescent="0.25">
      <c r="A13">
        <v>332</v>
      </c>
      <c r="B13" s="8">
        <v>2207</v>
      </c>
    </row>
    <row r="14" spans="1:2" x14ac:dyDescent="0.25">
      <c r="B14" s="8"/>
    </row>
    <row r="15" spans="1:2" x14ac:dyDescent="0.25">
      <c r="B15" s="8"/>
    </row>
    <row r="16" spans="1:2" x14ac:dyDescent="0.25">
      <c r="B16" s="8"/>
    </row>
    <row r="17" spans="2:2" x14ac:dyDescent="0.25">
      <c r="B17" s="8"/>
    </row>
    <row r="18" spans="2:2" x14ac:dyDescent="0.25">
      <c r="B18" s="8"/>
    </row>
    <row r="19" spans="2:2" x14ac:dyDescent="0.25">
      <c r="B19" s="8"/>
    </row>
    <row r="20" spans="2:2" x14ac:dyDescent="0.25">
      <c r="B20" s="8"/>
    </row>
    <row r="21" spans="2:2" x14ac:dyDescent="0.25">
      <c r="B21" s="8"/>
    </row>
    <row r="22" spans="2:2" x14ac:dyDescent="0.25">
      <c r="B22" s="8"/>
    </row>
    <row r="23" spans="2:2" x14ac:dyDescent="0.25">
      <c r="B23" s="8"/>
    </row>
    <row r="24" spans="2:2" x14ac:dyDescent="0.25">
      <c r="B24" s="8"/>
    </row>
    <row r="25" spans="2:2" x14ac:dyDescent="0.25">
      <c r="B25" s="8"/>
    </row>
    <row r="26" spans="2:2" x14ac:dyDescent="0.25">
      <c r="B26" s="8"/>
    </row>
    <row r="27" spans="2:2" x14ac:dyDescent="0.25">
      <c r="B27" s="8"/>
    </row>
    <row r="28" spans="2:2" x14ac:dyDescent="0.25">
      <c r="B28" s="8"/>
    </row>
    <row r="29" spans="2:2" x14ac:dyDescent="0.25">
      <c r="B29" s="8"/>
    </row>
    <row r="30" spans="2:2" x14ac:dyDescent="0.25">
      <c r="B30" s="8"/>
    </row>
    <row r="31" spans="2:2" x14ac:dyDescent="0.25">
      <c r="B31" s="8"/>
    </row>
    <row r="32" spans="2:2" x14ac:dyDescent="0.25">
      <c r="B32" s="8"/>
    </row>
    <row r="33" spans="2:2" x14ac:dyDescent="0.25">
      <c r="B33" s="8"/>
    </row>
    <row r="34" spans="2:2" x14ac:dyDescent="0.25">
      <c r="B34" s="8"/>
    </row>
    <row r="35" spans="2:2" x14ac:dyDescent="0.25">
      <c r="B35" s="8"/>
    </row>
    <row r="36" spans="2:2" x14ac:dyDescent="0.25">
      <c r="B36" s="8"/>
    </row>
    <row r="37" spans="2:2" x14ac:dyDescent="0.25">
      <c r="B37" s="8"/>
    </row>
    <row r="38" spans="2:2" x14ac:dyDescent="0.25">
      <c r="B38" s="8"/>
    </row>
    <row r="39" spans="2:2" x14ac:dyDescent="0.25">
      <c r="B39" s="8"/>
    </row>
    <row r="40" spans="2:2" x14ac:dyDescent="0.25">
      <c r="B40" s="8"/>
    </row>
    <row r="41" spans="2:2" x14ac:dyDescent="0.25">
      <c r="B41" s="8"/>
    </row>
    <row r="42" spans="2:2" x14ac:dyDescent="0.25">
      <c r="B42" s="8"/>
    </row>
    <row r="43" spans="2:2" x14ac:dyDescent="0.25">
      <c r="B43" s="8"/>
    </row>
    <row r="44" spans="2:2" x14ac:dyDescent="0.25">
      <c r="B44" s="8"/>
    </row>
    <row r="45" spans="2:2" x14ac:dyDescent="0.25">
      <c r="B45" s="8"/>
    </row>
    <row r="46" spans="2:2" x14ac:dyDescent="0.25">
      <c r="B46" s="8"/>
    </row>
    <row r="47" spans="2:2" x14ac:dyDescent="0.25">
      <c r="B47" s="8"/>
    </row>
    <row r="48" spans="2:2" x14ac:dyDescent="0.25">
      <c r="B48" s="8"/>
    </row>
    <row r="49" spans="2:2" x14ac:dyDescent="0.25">
      <c r="B49" s="8"/>
    </row>
    <row r="50" spans="2:2" x14ac:dyDescent="0.25">
      <c r="B50" s="8"/>
    </row>
    <row r="51" spans="2:2" x14ac:dyDescent="0.25">
      <c r="B51" s="8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selection activeCell="C18" sqref="C18"/>
    </sheetView>
  </sheetViews>
  <sheetFormatPr defaultRowHeight="15" x14ac:dyDescent="0.25"/>
  <cols>
    <col min="1" max="1" width="14.42578125" customWidth="1"/>
    <col min="2" max="2" width="17" customWidth="1"/>
    <col min="3" max="3" width="20.42578125" customWidth="1"/>
    <col min="4" max="4" width="14.85546875" customWidth="1"/>
    <col min="5" max="5" width="13.28515625" customWidth="1"/>
  </cols>
  <sheetData>
    <row r="1" spans="1:10" x14ac:dyDescent="0.25">
      <c r="A1" t="s">
        <v>9</v>
      </c>
      <c r="B1" t="s">
        <v>12</v>
      </c>
      <c r="C1" t="s">
        <v>48</v>
      </c>
      <c r="D1" t="s">
        <v>402</v>
      </c>
      <c r="E1" t="s">
        <v>31</v>
      </c>
    </row>
    <row r="2" spans="1:10" x14ac:dyDescent="0.25">
      <c r="A2">
        <v>221</v>
      </c>
      <c r="B2">
        <v>4441</v>
      </c>
      <c r="C2" s="1">
        <v>43863</v>
      </c>
      <c r="D2">
        <f ca="1">RANDBETWEEN(1,20)</f>
        <v>20</v>
      </c>
      <c r="E2" s="9">
        <v>90</v>
      </c>
    </row>
    <row r="3" spans="1:10" x14ac:dyDescent="0.25">
      <c r="A3">
        <v>222</v>
      </c>
      <c r="B3">
        <v>4442</v>
      </c>
      <c r="C3" s="1">
        <v>43863</v>
      </c>
      <c r="D3">
        <f t="shared" ref="D3:D20" ca="1" si="0">RANDBETWEEN(1,20)</f>
        <v>15</v>
      </c>
      <c r="E3" s="9">
        <v>91</v>
      </c>
    </row>
    <row r="4" spans="1:10" x14ac:dyDescent="0.25">
      <c r="A4">
        <v>331</v>
      </c>
      <c r="B4">
        <v>4443</v>
      </c>
      <c r="C4" s="1">
        <v>43863</v>
      </c>
      <c r="D4">
        <f t="shared" ca="1" si="0"/>
        <v>12</v>
      </c>
      <c r="E4" s="9">
        <v>92</v>
      </c>
    </row>
    <row r="5" spans="1:10" x14ac:dyDescent="0.25">
      <c r="A5">
        <v>332</v>
      </c>
      <c r="B5">
        <v>4444</v>
      </c>
      <c r="C5" s="1">
        <v>43863</v>
      </c>
      <c r="D5">
        <f t="shared" ca="1" si="0"/>
        <v>14</v>
      </c>
      <c r="E5" s="9">
        <v>93</v>
      </c>
      <c r="J5" s="9"/>
    </row>
    <row r="6" spans="1:10" x14ac:dyDescent="0.25">
      <c r="A6">
        <v>433</v>
      </c>
      <c r="B6">
        <v>4445</v>
      </c>
      <c r="C6" s="1">
        <v>43863</v>
      </c>
      <c r="D6">
        <f t="shared" ca="1" si="0"/>
        <v>2</v>
      </c>
      <c r="E6" s="9">
        <v>94</v>
      </c>
      <c r="J6" s="9"/>
    </row>
    <row r="7" spans="1:10" x14ac:dyDescent="0.25">
      <c r="A7">
        <v>221</v>
      </c>
      <c r="B7" s="9">
        <v>4446</v>
      </c>
      <c r="C7" s="1">
        <v>43884</v>
      </c>
      <c r="D7">
        <f t="shared" ca="1" si="0"/>
        <v>15</v>
      </c>
      <c r="E7" s="9">
        <v>95</v>
      </c>
      <c r="J7" s="9"/>
    </row>
    <row r="8" spans="1:10" x14ac:dyDescent="0.25">
      <c r="A8">
        <v>222</v>
      </c>
      <c r="B8" s="9">
        <v>4447</v>
      </c>
      <c r="C8" s="1">
        <v>43891</v>
      </c>
      <c r="D8">
        <f t="shared" ca="1" si="0"/>
        <v>19</v>
      </c>
      <c r="E8" s="9">
        <v>96</v>
      </c>
      <c r="J8" s="9"/>
    </row>
    <row r="9" spans="1:10" x14ac:dyDescent="0.25">
      <c r="A9">
        <v>331</v>
      </c>
      <c r="B9" s="9">
        <v>4448</v>
      </c>
      <c r="C9" s="1">
        <v>43892</v>
      </c>
      <c r="D9">
        <f t="shared" ca="1" si="0"/>
        <v>16</v>
      </c>
      <c r="E9" s="9">
        <v>97</v>
      </c>
      <c r="J9" s="9"/>
    </row>
    <row r="10" spans="1:10" x14ac:dyDescent="0.25">
      <c r="A10">
        <v>332</v>
      </c>
      <c r="B10" s="9">
        <v>4449</v>
      </c>
      <c r="C10" s="1">
        <v>43865</v>
      </c>
      <c r="D10">
        <f t="shared" ca="1" si="0"/>
        <v>18</v>
      </c>
      <c r="E10" s="9">
        <v>98</v>
      </c>
      <c r="J10" s="9"/>
    </row>
    <row r="11" spans="1:10" x14ac:dyDescent="0.25">
      <c r="A11">
        <v>433</v>
      </c>
      <c r="B11" s="9">
        <v>4450</v>
      </c>
      <c r="C11" s="1">
        <v>43875</v>
      </c>
      <c r="D11">
        <f t="shared" ca="1" si="0"/>
        <v>12</v>
      </c>
      <c r="E11" s="9">
        <v>99</v>
      </c>
      <c r="J11" s="9"/>
    </row>
    <row r="12" spans="1:10" x14ac:dyDescent="0.25">
      <c r="A12">
        <v>1</v>
      </c>
      <c r="B12" s="9">
        <v>4451</v>
      </c>
      <c r="C12" s="1">
        <v>43871</v>
      </c>
      <c r="D12">
        <f t="shared" ca="1" si="0"/>
        <v>3</v>
      </c>
      <c r="E12" s="9">
        <v>100</v>
      </c>
      <c r="J12" s="9"/>
    </row>
    <row r="13" spans="1:10" x14ac:dyDescent="0.25">
      <c r="A13">
        <v>2</v>
      </c>
      <c r="B13" s="9">
        <v>4452</v>
      </c>
      <c r="C13" s="1">
        <v>43887</v>
      </c>
      <c r="D13">
        <f t="shared" ca="1" si="0"/>
        <v>11</v>
      </c>
      <c r="E13" s="9">
        <v>101</v>
      </c>
      <c r="J13" s="9"/>
    </row>
    <row r="14" spans="1:10" x14ac:dyDescent="0.25">
      <c r="A14">
        <v>3</v>
      </c>
      <c r="B14" s="9">
        <v>4453</v>
      </c>
      <c r="C14" s="1">
        <v>43874</v>
      </c>
      <c r="D14">
        <f t="shared" ca="1" si="0"/>
        <v>4</v>
      </c>
      <c r="E14" s="9">
        <v>102</v>
      </c>
      <c r="J14" s="9"/>
    </row>
    <row r="15" spans="1:10" x14ac:dyDescent="0.25">
      <c r="A15">
        <v>4</v>
      </c>
      <c r="B15" s="9">
        <v>4454</v>
      </c>
      <c r="C15" s="1">
        <v>43876</v>
      </c>
      <c r="D15">
        <f t="shared" ca="1" si="0"/>
        <v>5</v>
      </c>
      <c r="E15" s="9">
        <v>103</v>
      </c>
      <c r="J15" s="9"/>
    </row>
    <row r="16" spans="1:10" x14ac:dyDescent="0.25">
      <c r="A16">
        <v>5</v>
      </c>
      <c r="B16" s="9">
        <v>4455</v>
      </c>
      <c r="C16" s="1">
        <v>43870</v>
      </c>
      <c r="D16">
        <f t="shared" ca="1" si="0"/>
        <v>2</v>
      </c>
      <c r="E16" s="9">
        <v>104</v>
      </c>
      <c r="J16" s="9"/>
    </row>
    <row r="17" spans="1:10" x14ac:dyDescent="0.25">
      <c r="A17">
        <v>331</v>
      </c>
      <c r="B17" s="9">
        <v>4456</v>
      </c>
      <c r="C17" s="1">
        <v>43885</v>
      </c>
      <c r="D17">
        <f t="shared" ca="1" si="0"/>
        <v>13</v>
      </c>
      <c r="E17" s="9">
        <v>105</v>
      </c>
      <c r="J17" s="9"/>
    </row>
    <row r="18" spans="1:10" x14ac:dyDescent="0.25">
      <c r="A18">
        <v>332</v>
      </c>
      <c r="B18" s="9">
        <v>4457</v>
      </c>
      <c r="C18" s="1">
        <v>43892</v>
      </c>
      <c r="D18">
        <f t="shared" ca="1" si="0"/>
        <v>20</v>
      </c>
      <c r="E18" s="9">
        <v>106</v>
      </c>
      <c r="J18" s="9"/>
    </row>
    <row r="19" spans="1:10" x14ac:dyDescent="0.25">
      <c r="A19">
        <v>221</v>
      </c>
      <c r="B19" s="9">
        <v>4458</v>
      </c>
      <c r="C19" s="1">
        <v>43891</v>
      </c>
      <c r="D19">
        <f t="shared" ca="1" si="0"/>
        <v>1</v>
      </c>
      <c r="E19" s="9">
        <v>107</v>
      </c>
      <c r="J19" s="9"/>
    </row>
    <row r="20" spans="1:10" x14ac:dyDescent="0.25">
      <c r="A20">
        <v>1</v>
      </c>
      <c r="B20" s="9">
        <v>4459</v>
      </c>
      <c r="C20" s="1">
        <v>43886</v>
      </c>
      <c r="D20">
        <f t="shared" ca="1" si="0"/>
        <v>10</v>
      </c>
      <c r="E20" s="9">
        <v>108</v>
      </c>
      <c r="J20" s="9"/>
    </row>
    <row r="21" spans="1:10" x14ac:dyDescent="0.25">
      <c r="E21" s="9"/>
      <c r="J21" s="9"/>
    </row>
    <row r="22" spans="1:10" x14ac:dyDescent="0.25">
      <c r="E22" s="9"/>
      <c r="J22" s="9"/>
    </row>
    <row r="23" spans="1:10" x14ac:dyDescent="0.25">
      <c r="E23" s="9"/>
      <c r="J23" s="9"/>
    </row>
    <row r="24" spans="1:10" x14ac:dyDescent="0.25">
      <c r="E24" s="9"/>
    </row>
    <row r="25" spans="1:10" x14ac:dyDescent="0.25">
      <c r="E25" s="9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activeCell="D20" sqref="D20"/>
    </sheetView>
  </sheetViews>
  <sheetFormatPr defaultRowHeight="15" x14ac:dyDescent="0.25"/>
  <cols>
    <col min="1" max="1" width="16.42578125" customWidth="1"/>
    <col min="2" max="2" width="18.7109375" customWidth="1"/>
    <col min="3" max="3" width="15.7109375" customWidth="1"/>
    <col min="4" max="4" width="69.28515625" style="18" customWidth="1"/>
  </cols>
  <sheetData>
    <row r="1" spans="1:3" x14ac:dyDescent="0.25">
      <c r="A1" t="s">
        <v>9</v>
      </c>
      <c r="B1" t="s">
        <v>6</v>
      </c>
      <c r="C1" t="s">
        <v>49</v>
      </c>
    </row>
    <row r="2" spans="1:3" x14ac:dyDescent="0.25">
      <c r="A2">
        <v>221</v>
      </c>
      <c r="B2">
        <v>1110</v>
      </c>
      <c r="C2" s="1">
        <v>43875</v>
      </c>
    </row>
    <row r="3" spans="1:3" x14ac:dyDescent="0.25">
      <c r="A3">
        <v>222</v>
      </c>
      <c r="B3">
        <v>1111</v>
      </c>
      <c r="C3" s="1">
        <v>43875</v>
      </c>
    </row>
    <row r="4" spans="1:3" x14ac:dyDescent="0.25">
      <c r="A4">
        <v>331</v>
      </c>
      <c r="B4">
        <v>1112</v>
      </c>
      <c r="C4" s="1">
        <v>43875</v>
      </c>
    </row>
    <row r="5" spans="1:3" x14ac:dyDescent="0.25">
      <c r="A5">
        <v>332</v>
      </c>
      <c r="B5">
        <v>1113</v>
      </c>
      <c r="C5" s="1">
        <v>43875</v>
      </c>
    </row>
    <row r="6" spans="1:3" x14ac:dyDescent="0.25">
      <c r="A6">
        <v>433</v>
      </c>
      <c r="B6">
        <v>1114</v>
      </c>
      <c r="C6" s="1">
        <v>43875</v>
      </c>
    </row>
    <row r="7" spans="1:3" x14ac:dyDescent="0.25">
      <c r="A7">
        <v>221</v>
      </c>
      <c r="B7">
        <v>1110</v>
      </c>
      <c r="C7" s="1">
        <f t="shared" ref="C7:C16" ca="1" si="0">RANDBETWEEN(DATE(2020,3,31),DATE(2020,4,15))</f>
        <v>43925</v>
      </c>
    </row>
    <row r="8" spans="1:3" x14ac:dyDescent="0.25">
      <c r="A8">
        <v>222</v>
      </c>
      <c r="B8">
        <v>1111</v>
      </c>
      <c r="C8" s="1">
        <f t="shared" ca="1" si="0"/>
        <v>43921</v>
      </c>
    </row>
    <row r="9" spans="1:3" x14ac:dyDescent="0.25">
      <c r="A9">
        <v>331</v>
      </c>
      <c r="B9">
        <v>1112</v>
      </c>
      <c r="C9" s="1">
        <f t="shared" ca="1" si="0"/>
        <v>43927</v>
      </c>
    </row>
    <row r="10" spans="1:3" x14ac:dyDescent="0.25">
      <c r="A10">
        <v>332</v>
      </c>
      <c r="B10">
        <v>1113</v>
      </c>
      <c r="C10" s="1">
        <f t="shared" ca="1" si="0"/>
        <v>43933</v>
      </c>
    </row>
    <row r="11" spans="1:3" x14ac:dyDescent="0.25">
      <c r="A11">
        <v>433</v>
      </c>
      <c r="B11">
        <v>1114</v>
      </c>
      <c r="C11" s="1">
        <f t="shared" ca="1" si="0"/>
        <v>43924</v>
      </c>
    </row>
    <row r="12" spans="1:3" x14ac:dyDescent="0.25">
      <c r="A12">
        <v>1</v>
      </c>
      <c r="B12">
        <v>1115</v>
      </c>
      <c r="C12" s="1">
        <f t="shared" ca="1" si="0"/>
        <v>43933</v>
      </c>
    </row>
    <row r="13" spans="1:3" x14ac:dyDescent="0.25">
      <c r="A13">
        <v>2</v>
      </c>
      <c r="B13">
        <v>1116</v>
      </c>
      <c r="C13" s="1">
        <f t="shared" ca="1" si="0"/>
        <v>43935</v>
      </c>
    </row>
    <row r="14" spans="1:3" x14ac:dyDescent="0.25">
      <c r="A14">
        <v>3</v>
      </c>
      <c r="B14">
        <v>1117</v>
      </c>
      <c r="C14" s="1">
        <f t="shared" ca="1" si="0"/>
        <v>43935</v>
      </c>
    </row>
    <row r="15" spans="1:3" x14ac:dyDescent="0.25">
      <c r="A15">
        <v>4</v>
      </c>
      <c r="B15">
        <v>1118</v>
      </c>
      <c r="C15" s="1">
        <f t="shared" ca="1" si="0"/>
        <v>43929</v>
      </c>
    </row>
    <row r="16" spans="1:3" x14ac:dyDescent="0.25">
      <c r="A16">
        <v>5</v>
      </c>
      <c r="B16">
        <v>1119</v>
      </c>
      <c r="C16" s="1">
        <f t="shared" ca="1" si="0"/>
        <v>43935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TACGIA</vt:lpstr>
      <vt:lpstr>KESACH</vt:lpstr>
      <vt:lpstr>THELOAI</vt:lpstr>
      <vt:lpstr>KHO</vt:lpstr>
      <vt:lpstr>NCC</vt:lpstr>
      <vt:lpstr>NXB</vt:lpstr>
      <vt:lpstr>THETHUVIEN</vt:lpstr>
      <vt:lpstr>VIPHAM</vt:lpstr>
      <vt:lpstr>DOCGIA</vt:lpstr>
      <vt:lpstr>DAUSACH</vt:lpstr>
      <vt:lpstr>SACH-TACGIA</vt:lpstr>
      <vt:lpstr>PHIEUMUON</vt:lpstr>
      <vt:lpstr>CT_PHIEUMUON</vt:lpstr>
      <vt:lpstr>PHIEUTRA</vt:lpstr>
      <vt:lpstr>CT_PHIEUTRA</vt:lpstr>
      <vt:lpstr>CUONSACH</vt:lpstr>
      <vt:lpstr>PHIEUKIEMKE</vt:lpstr>
      <vt:lpstr>NHANVIEN</vt:lpstr>
      <vt:lpstr>QUANLYMUONSACH</vt:lpstr>
      <vt:lpstr>QUANLYTRASACH</vt:lpstr>
      <vt:lpstr>PHIEUNHAP</vt:lpstr>
      <vt:lpstr>PHIEUXUAT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Đinh Thị Loan</cp:lastModifiedBy>
  <dcterms:created xsi:type="dcterms:W3CDTF">2020-03-27T13:20:30Z</dcterms:created>
  <dcterms:modified xsi:type="dcterms:W3CDTF">2020-04-08T07:16:04Z</dcterms:modified>
</cp:coreProperties>
</file>